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Owner\Documents\Fun\Pokemon\Earth &amp; Sky\"/>
    </mc:Choice>
  </mc:AlternateContent>
  <xr:revisionPtr revIDLastSave="0" documentId="13_ncr:1_{2B89DA9B-9E1B-4C8D-B145-A4066E6856E0}" xr6:coauthVersionLast="45" xr6:coauthVersionMax="45" xr10:uidLastSave="{00000000-0000-0000-0000-000000000000}"/>
  <bookViews>
    <workbookView xWindow="-120" yWindow="-120" windowWidth="20730" windowHeight="11160" xr2:uid="{456A2D85-3505-4A7D-887C-A1303119EC52}"/>
  </bookViews>
  <sheets>
    <sheet name="Types" sheetId="5" r:id="rId1"/>
    <sheet name="Evolution" sheetId="7" r:id="rId2"/>
    <sheet name="Gens" sheetId="9" r:id="rId3"/>
    <sheet name="Eggs" sheetId="8" r:id="rId4"/>
    <sheet name="Stats" sheetId="10" r:id="rId5"/>
    <sheet name="Contest" sheetId="6" r:id="rId6"/>
    <sheet name="TMs" sheetId="4" r:id="rId7"/>
  </sheets>
  <functionGroups builtInGroupCount="19"/>
  <externalReferences>
    <externalReference r:id="rId8"/>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7" i="10" l="1"/>
  <c r="Q30" i="10"/>
  <c r="Q29" i="10"/>
  <c r="Q28" i="10"/>
  <c r="Q26" i="10"/>
  <c r="Q25" i="10"/>
  <c r="Q23" i="10"/>
  <c r="Q22" i="10"/>
  <c r="Q21" i="10"/>
  <c r="Q20" i="10"/>
  <c r="Q19" i="10"/>
  <c r="Q18" i="10"/>
  <c r="L25" i="10"/>
  <c r="M25" i="10"/>
  <c r="N25" i="10"/>
  <c r="O25" i="10"/>
  <c r="L26" i="10"/>
  <c r="M26" i="10"/>
  <c r="N26" i="10"/>
  <c r="O26" i="10"/>
  <c r="L27" i="10"/>
  <c r="M27" i="10"/>
  <c r="N27" i="10"/>
  <c r="O27" i="10"/>
  <c r="L28" i="10"/>
  <c r="M28" i="10"/>
  <c r="N28" i="10"/>
  <c r="O28" i="10"/>
  <c r="L29" i="10"/>
  <c r="M29" i="10"/>
  <c r="N29" i="10"/>
  <c r="O29" i="10"/>
  <c r="L30" i="10"/>
  <c r="M30" i="10"/>
  <c r="N30" i="10"/>
  <c r="O30" i="10"/>
  <c r="K27" i="10"/>
  <c r="K30" i="10"/>
  <c r="K29" i="10"/>
  <c r="K28" i="10"/>
  <c r="K26" i="10"/>
  <c r="K25" i="10"/>
  <c r="L18" i="10"/>
  <c r="M18" i="10"/>
  <c r="N18" i="10"/>
  <c r="O18" i="10"/>
  <c r="L19" i="10"/>
  <c r="M19" i="10"/>
  <c r="N19" i="10"/>
  <c r="O19" i="10"/>
  <c r="L20" i="10"/>
  <c r="M20" i="10"/>
  <c r="N20" i="10"/>
  <c r="O20" i="10"/>
  <c r="L21" i="10"/>
  <c r="M21" i="10"/>
  <c r="N21" i="10"/>
  <c r="O21" i="10"/>
  <c r="L22" i="10"/>
  <c r="M22" i="10"/>
  <c r="N22" i="10"/>
  <c r="O22" i="10"/>
  <c r="L23" i="10"/>
  <c r="M23" i="10"/>
  <c r="N23" i="10"/>
  <c r="O23" i="10"/>
  <c r="K23" i="10"/>
  <c r="K22" i="10"/>
  <c r="K21" i="10"/>
  <c r="K20" i="10"/>
  <c r="K19" i="10"/>
  <c r="K18" i="10"/>
  <c r="H27" i="10"/>
  <c r="C27" i="10"/>
  <c r="D27" i="10"/>
  <c r="E27" i="10"/>
  <c r="F27" i="10"/>
  <c r="B27" i="10"/>
  <c r="H30" i="10"/>
  <c r="H29" i="10"/>
  <c r="H28" i="10"/>
  <c r="H26" i="10"/>
  <c r="H25" i="10"/>
  <c r="H23" i="10"/>
  <c r="H22" i="10"/>
  <c r="H21" i="10"/>
  <c r="H20" i="10"/>
  <c r="H19" i="10"/>
  <c r="H18" i="10"/>
  <c r="C19" i="10"/>
  <c r="D19" i="10"/>
  <c r="E19" i="10"/>
  <c r="F19" i="10"/>
  <c r="C20" i="10"/>
  <c r="D20" i="10"/>
  <c r="E20" i="10"/>
  <c r="F20" i="10"/>
  <c r="C21" i="10"/>
  <c r="D21" i="10"/>
  <c r="E21" i="10"/>
  <c r="F21" i="10"/>
  <c r="C22" i="10"/>
  <c r="D22" i="10"/>
  <c r="E22" i="10"/>
  <c r="F22" i="10"/>
  <c r="C23" i="10"/>
  <c r="D23" i="10"/>
  <c r="E23" i="10"/>
  <c r="F23" i="10"/>
  <c r="B30" i="10"/>
  <c r="B29" i="10"/>
  <c r="B28" i="10"/>
  <c r="B26" i="10"/>
  <c r="B25" i="10"/>
  <c r="B23" i="10"/>
  <c r="B22" i="10"/>
  <c r="B21" i="10"/>
  <c r="B20" i="10"/>
  <c r="B19" i="10"/>
  <c r="C18" i="10"/>
  <c r="D18" i="10"/>
  <c r="E18" i="10"/>
  <c r="F18" i="10"/>
  <c r="B18" i="10"/>
  <c r="F30" i="10"/>
  <c r="E30" i="10"/>
  <c r="D30" i="10"/>
  <c r="C30" i="10"/>
  <c r="F29" i="10"/>
  <c r="E29" i="10"/>
  <c r="D29" i="10"/>
  <c r="C29" i="10"/>
  <c r="F28" i="10"/>
  <c r="E28" i="10"/>
  <c r="D28" i="10"/>
  <c r="C28" i="10"/>
  <c r="F26" i="10"/>
  <c r="E26" i="10"/>
  <c r="D26" i="10"/>
  <c r="C26" i="10"/>
  <c r="F25" i="10"/>
  <c r="E25" i="10"/>
  <c r="D25" i="10"/>
  <c r="C25" i="10"/>
  <c r="C38" i="7" l="1"/>
  <c r="B3" i="10" l="1"/>
  <c r="AI15" i="10"/>
  <c r="AH15" i="10"/>
  <c r="AG15" i="10"/>
  <c r="AF15" i="10"/>
  <c r="AE15" i="10"/>
  <c r="AD15" i="10"/>
  <c r="AC15" i="10"/>
  <c r="Z15" i="10"/>
  <c r="Y15" i="10"/>
  <c r="X15" i="10"/>
  <c r="W15" i="10"/>
  <c r="V15" i="10"/>
  <c r="U15" i="10"/>
  <c r="T15" i="10"/>
  <c r="AI14" i="10"/>
  <c r="AH14" i="10"/>
  <c r="AG14" i="10"/>
  <c r="AF14" i="10"/>
  <c r="AE14" i="10"/>
  <c r="AD14" i="10"/>
  <c r="AC14" i="10"/>
  <c r="Z14" i="10"/>
  <c r="Y14" i="10"/>
  <c r="X14" i="10"/>
  <c r="W14" i="10"/>
  <c r="V14" i="10"/>
  <c r="U14" i="10"/>
  <c r="T14" i="10"/>
  <c r="AI13" i="10"/>
  <c r="AH13" i="10"/>
  <c r="AG13" i="10"/>
  <c r="AF13" i="10"/>
  <c r="AE13" i="10"/>
  <c r="AD13" i="10"/>
  <c r="AC13" i="10"/>
  <c r="Z13" i="10"/>
  <c r="Y13" i="10"/>
  <c r="X13" i="10"/>
  <c r="W13" i="10"/>
  <c r="V13" i="10"/>
  <c r="U13" i="10"/>
  <c r="T13" i="10"/>
  <c r="AI12" i="10"/>
  <c r="AH12" i="10"/>
  <c r="AG12" i="10"/>
  <c r="AF12" i="10"/>
  <c r="AE12" i="10"/>
  <c r="AD12" i="10"/>
  <c r="AC12" i="10"/>
  <c r="Z12" i="10"/>
  <c r="Y12" i="10"/>
  <c r="X12" i="10"/>
  <c r="W12" i="10"/>
  <c r="V12" i="10"/>
  <c r="U12" i="10"/>
  <c r="T12" i="10"/>
  <c r="AI11" i="10"/>
  <c r="AH11" i="10"/>
  <c r="AG11" i="10"/>
  <c r="AF11" i="10"/>
  <c r="AE11" i="10"/>
  <c r="AD11" i="10"/>
  <c r="AC11" i="10"/>
  <c r="Z11" i="10"/>
  <c r="Y11" i="10"/>
  <c r="X11" i="10"/>
  <c r="W11" i="10"/>
  <c r="V11" i="10"/>
  <c r="U11" i="10"/>
  <c r="T11" i="10"/>
  <c r="AI10" i="10"/>
  <c r="AH10" i="10"/>
  <c r="AG10" i="10"/>
  <c r="AF10" i="10"/>
  <c r="AE10" i="10"/>
  <c r="AD10" i="10"/>
  <c r="AC10" i="10"/>
  <c r="Z10" i="10"/>
  <c r="Y10" i="10"/>
  <c r="X10" i="10"/>
  <c r="W10" i="10"/>
  <c r="V10" i="10"/>
  <c r="U10" i="10"/>
  <c r="T10" i="10"/>
  <c r="AI8" i="10"/>
  <c r="AH8" i="10"/>
  <c r="AG8" i="10"/>
  <c r="AF8" i="10"/>
  <c r="AE8" i="10"/>
  <c r="AD8" i="10"/>
  <c r="AC8" i="10"/>
  <c r="Z8" i="10"/>
  <c r="Y8" i="10"/>
  <c r="X8" i="10"/>
  <c r="W8" i="10"/>
  <c r="V8" i="10"/>
  <c r="U8" i="10"/>
  <c r="T8" i="10"/>
  <c r="AI7" i="10"/>
  <c r="AH7" i="10"/>
  <c r="AG7" i="10"/>
  <c r="AF7" i="10"/>
  <c r="AE7" i="10"/>
  <c r="AD7" i="10"/>
  <c r="AC7" i="10"/>
  <c r="Z7" i="10"/>
  <c r="Y7" i="10"/>
  <c r="X7" i="10"/>
  <c r="W7" i="10"/>
  <c r="V7" i="10"/>
  <c r="U7" i="10"/>
  <c r="T7" i="10"/>
  <c r="AI6" i="10"/>
  <c r="AH6" i="10"/>
  <c r="AG6" i="10"/>
  <c r="AF6" i="10"/>
  <c r="AE6" i="10"/>
  <c r="AD6" i="10"/>
  <c r="AC6" i="10"/>
  <c r="Z6" i="10"/>
  <c r="Y6" i="10"/>
  <c r="X6" i="10"/>
  <c r="W6" i="10"/>
  <c r="V6" i="10"/>
  <c r="U6" i="10"/>
  <c r="T6" i="10"/>
  <c r="AI5" i="10"/>
  <c r="AH5" i="10"/>
  <c r="AG5" i="10"/>
  <c r="AF5" i="10"/>
  <c r="AE5" i="10"/>
  <c r="AD5" i="10"/>
  <c r="AC5" i="10"/>
  <c r="Z5" i="10"/>
  <c r="Y5" i="10"/>
  <c r="X5" i="10"/>
  <c r="W5" i="10"/>
  <c r="V5" i="10"/>
  <c r="U5" i="10"/>
  <c r="T5" i="10"/>
  <c r="AI4" i="10"/>
  <c r="AH4" i="10"/>
  <c r="AG4" i="10"/>
  <c r="AF4" i="10"/>
  <c r="AE4" i="10"/>
  <c r="AD4" i="10"/>
  <c r="AC4" i="10"/>
  <c r="Z4" i="10"/>
  <c r="Y4" i="10"/>
  <c r="X4" i="10"/>
  <c r="W4" i="10"/>
  <c r="V4" i="10"/>
  <c r="U4" i="10"/>
  <c r="T4" i="10"/>
  <c r="AI3" i="10"/>
  <c r="AH3" i="10"/>
  <c r="AG3" i="10"/>
  <c r="AF3" i="10"/>
  <c r="AE3" i="10"/>
  <c r="AD3" i="10"/>
  <c r="AC3" i="10"/>
  <c r="Z3" i="10"/>
  <c r="Y3" i="10"/>
  <c r="X3" i="10"/>
  <c r="W3" i="10"/>
  <c r="V3" i="10"/>
  <c r="U3" i="10"/>
  <c r="T3" i="10"/>
  <c r="J291" i="4" l="1"/>
  <c r="I291" i="4"/>
  <c r="J290" i="4"/>
  <c r="I290" i="4"/>
  <c r="J289" i="4"/>
  <c r="I289" i="4"/>
  <c r="J288" i="4"/>
  <c r="I288" i="4"/>
  <c r="J287" i="4"/>
  <c r="I287" i="4"/>
  <c r="J286" i="4"/>
  <c r="I286" i="4"/>
  <c r="J285" i="4"/>
  <c r="I285" i="4"/>
  <c r="J284" i="4"/>
  <c r="I284" i="4"/>
  <c r="J283" i="4"/>
  <c r="I283" i="4"/>
  <c r="J282" i="4"/>
  <c r="I282" i="4"/>
  <c r="J281" i="4"/>
  <c r="I281" i="4"/>
  <c r="J280" i="4"/>
  <c r="I280" i="4"/>
  <c r="J279" i="4"/>
  <c r="I279" i="4"/>
  <c r="J278" i="4"/>
  <c r="I278" i="4"/>
  <c r="J277" i="4"/>
  <c r="I277" i="4"/>
  <c r="J276" i="4"/>
  <c r="I276" i="4"/>
  <c r="J275" i="4"/>
  <c r="I275" i="4"/>
  <c r="J274" i="4"/>
  <c r="I274" i="4"/>
  <c r="J273" i="4"/>
  <c r="I273" i="4"/>
  <c r="J272" i="4"/>
  <c r="I272" i="4"/>
  <c r="J271" i="4"/>
  <c r="I271" i="4"/>
  <c r="J270" i="4"/>
  <c r="I270" i="4"/>
  <c r="J269" i="4"/>
  <c r="I269" i="4"/>
  <c r="J268" i="4"/>
  <c r="I268" i="4"/>
  <c r="J267" i="4"/>
  <c r="I267" i="4"/>
  <c r="J266" i="4"/>
  <c r="I266" i="4"/>
  <c r="J265" i="4"/>
  <c r="I265" i="4"/>
  <c r="J264" i="4"/>
  <c r="I264" i="4"/>
  <c r="J263" i="4"/>
  <c r="I263" i="4"/>
  <c r="J262" i="4"/>
  <c r="I262" i="4"/>
  <c r="J261" i="4"/>
  <c r="I261" i="4"/>
  <c r="J260" i="4"/>
  <c r="I260" i="4"/>
  <c r="J259" i="4"/>
  <c r="I259" i="4"/>
  <c r="J258" i="4"/>
  <c r="I258" i="4"/>
  <c r="J257" i="4"/>
  <c r="I257" i="4"/>
  <c r="J256" i="4"/>
  <c r="I256" i="4"/>
  <c r="J255" i="4"/>
  <c r="I255" i="4"/>
  <c r="J254" i="4"/>
  <c r="I254" i="4"/>
  <c r="J253" i="4"/>
  <c r="I253" i="4"/>
  <c r="J252" i="4"/>
  <c r="I252" i="4"/>
  <c r="J251" i="4"/>
  <c r="I251" i="4"/>
  <c r="J250" i="4"/>
  <c r="I250" i="4"/>
  <c r="J249" i="4"/>
  <c r="I249" i="4"/>
  <c r="J248" i="4"/>
  <c r="I248" i="4"/>
  <c r="J247" i="4"/>
  <c r="I247" i="4"/>
  <c r="J246" i="4"/>
  <c r="I246" i="4"/>
  <c r="J245" i="4"/>
  <c r="I245" i="4"/>
  <c r="J244" i="4"/>
  <c r="I244" i="4"/>
  <c r="J243" i="4"/>
  <c r="I243" i="4"/>
  <c r="J242" i="4"/>
  <c r="I242" i="4"/>
  <c r="J241" i="4"/>
  <c r="I241" i="4"/>
  <c r="J240" i="4"/>
  <c r="I240" i="4"/>
  <c r="J239" i="4"/>
  <c r="I239" i="4"/>
  <c r="J238" i="4"/>
  <c r="I238" i="4"/>
  <c r="J237" i="4"/>
  <c r="I237" i="4"/>
  <c r="J236" i="4"/>
  <c r="I236" i="4"/>
  <c r="J235" i="4"/>
  <c r="I235" i="4"/>
  <c r="J234" i="4"/>
  <c r="I234" i="4"/>
  <c r="J233" i="4"/>
  <c r="I233" i="4"/>
  <c r="J232" i="4"/>
  <c r="I232" i="4"/>
  <c r="J231" i="4"/>
  <c r="I231" i="4"/>
  <c r="J230" i="4"/>
  <c r="I230" i="4"/>
  <c r="J229" i="4"/>
  <c r="I229" i="4"/>
  <c r="J228" i="4"/>
  <c r="I228" i="4"/>
  <c r="J227" i="4"/>
  <c r="I227" i="4"/>
  <c r="J226" i="4"/>
  <c r="I226" i="4"/>
  <c r="J225" i="4"/>
  <c r="I225" i="4"/>
  <c r="J224" i="4"/>
  <c r="I224" i="4"/>
  <c r="J223" i="4"/>
  <c r="I223" i="4"/>
  <c r="J222" i="4"/>
  <c r="I222" i="4"/>
  <c r="J221" i="4"/>
  <c r="I221" i="4"/>
  <c r="J220" i="4"/>
  <c r="I220" i="4"/>
  <c r="J219" i="4"/>
  <c r="I219" i="4"/>
  <c r="J218" i="4"/>
  <c r="I218" i="4"/>
  <c r="J217" i="4"/>
  <c r="I217" i="4"/>
  <c r="J216" i="4"/>
  <c r="I216" i="4"/>
  <c r="J215" i="4"/>
  <c r="I215" i="4"/>
  <c r="J214" i="4"/>
  <c r="I214" i="4"/>
  <c r="J213" i="4"/>
  <c r="I213" i="4"/>
  <c r="J212" i="4"/>
  <c r="I212" i="4"/>
  <c r="J211" i="4"/>
  <c r="I211" i="4"/>
  <c r="J210" i="4"/>
  <c r="I210" i="4"/>
  <c r="J209" i="4"/>
  <c r="I209" i="4"/>
  <c r="J208" i="4"/>
  <c r="I208" i="4"/>
  <c r="J207" i="4"/>
  <c r="I207" i="4"/>
  <c r="J206" i="4"/>
  <c r="I206" i="4"/>
  <c r="J205" i="4"/>
  <c r="I205" i="4"/>
  <c r="J204" i="4"/>
  <c r="I204" i="4"/>
  <c r="J203" i="4"/>
  <c r="I203" i="4"/>
  <c r="J202" i="4"/>
  <c r="I202" i="4"/>
  <c r="J201" i="4"/>
  <c r="I201" i="4"/>
  <c r="J200" i="4"/>
  <c r="I200" i="4"/>
  <c r="J199" i="4"/>
  <c r="I199" i="4"/>
  <c r="J198" i="4"/>
  <c r="I198" i="4"/>
  <c r="J197" i="4"/>
  <c r="I197" i="4"/>
  <c r="J196" i="4"/>
  <c r="I196" i="4"/>
  <c r="J195" i="4"/>
  <c r="I195" i="4"/>
  <c r="J194" i="4"/>
  <c r="I194" i="4"/>
  <c r="J193" i="4"/>
  <c r="I193" i="4"/>
  <c r="J192" i="4"/>
  <c r="I192" i="4"/>
  <c r="J191" i="4"/>
  <c r="I191" i="4"/>
  <c r="J190" i="4"/>
  <c r="I190" i="4"/>
  <c r="J189" i="4"/>
  <c r="I189" i="4"/>
  <c r="J188" i="4"/>
  <c r="I188" i="4"/>
  <c r="J187" i="4"/>
  <c r="I187" i="4"/>
  <c r="J186" i="4"/>
  <c r="I186" i="4"/>
  <c r="J185" i="4"/>
  <c r="I185" i="4"/>
  <c r="J184" i="4"/>
  <c r="I184" i="4"/>
  <c r="J183" i="4"/>
  <c r="I183" i="4"/>
  <c r="J182" i="4"/>
  <c r="I182" i="4"/>
  <c r="J181" i="4"/>
  <c r="I181" i="4"/>
  <c r="J180" i="4"/>
  <c r="I180" i="4"/>
  <c r="J179" i="4"/>
  <c r="I179" i="4"/>
  <c r="J178" i="4"/>
  <c r="I178" i="4"/>
  <c r="J177" i="4"/>
  <c r="I177" i="4"/>
  <c r="J176" i="4"/>
  <c r="I176" i="4"/>
  <c r="J175" i="4"/>
  <c r="I175" i="4"/>
  <c r="J174" i="4"/>
  <c r="I174" i="4"/>
  <c r="J173" i="4"/>
  <c r="I173" i="4"/>
  <c r="J172" i="4"/>
  <c r="I172" i="4"/>
  <c r="J171" i="4"/>
  <c r="I171" i="4"/>
  <c r="J170" i="4"/>
  <c r="I170" i="4"/>
  <c r="J169" i="4"/>
  <c r="I169" i="4"/>
  <c r="J168" i="4"/>
  <c r="I168" i="4"/>
  <c r="J167" i="4"/>
  <c r="I167" i="4"/>
  <c r="J166" i="4"/>
  <c r="I166" i="4"/>
  <c r="J165" i="4"/>
  <c r="I165" i="4"/>
  <c r="J164" i="4"/>
  <c r="I164" i="4"/>
  <c r="J163" i="4"/>
  <c r="I163" i="4"/>
  <c r="J162" i="4"/>
  <c r="I162" i="4"/>
  <c r="J161" i="4"/>
  <c r="I161" i="4"/>
  <c r="J160" i="4"/>
  <c r="I160" i="4"/>
  <c r="J159" i="4"/>
  <c r="I159" i="4"/>
  <c r="J158" i="4"/>
  <c r="I158" i="4"/>
  <c r="J157" i="4"/>
  <c r="I157" i="4"/>
  <c r="J156" i="4"/>
  <c r="I156" i="4"/>
  <c r="J155" i="4"/>
  <c r="I155" i="4"/>
  <c r="J154" i="4"/>
  <c r="I154" i="4"/>
  <c r="J153" i="4"/>
  <c r="I153" i="4"/>
  <c r="J152" i="4"/>
  <c r="I152" i="4"/>
  <c r="J151" i="4"/>
  <c r="I151" i="4"/>
  <c r="J150" i="4"/>
  <c r="I150" i="4"/>
  <c r="J149" i="4"/>
  <c r="I149" i="4"/>
  <c r="J148" i="4"/>
  <c r="I148" i="4"/>
  <c r="J147" i="4"/>
  <c r="I147" i="4"/>
  <c r="J146" i="4"/>
  <c r="I146" i="4"/>
  <c r="J145" i="4"/>
  <c r="I145" i="4"/>
  <c r="J144" i="4"/>
  <c r="I144" i="4"/>
  <c r="J143" i="4"/>
  <c r="I143" i="4"/>
  <c r="J142" i="4"/>
  <c r="I142" i="4"/>
  <c r="J141" i="4"/>
  <c r="I141" i="4"/>
  <c r="J140" i="4"/>
  <c r="I140" i="4"/>
  <c r="J139" i="4"/>
  <c r="I139" i="4"/>
  <c r="J138" i="4"/>
  <c r="I138" i="4"/>
  <c r="J137" i="4"/>
  <c r="I137" i="4"/>
  <c r="J136" i="4"/>
  <c r="I136" i="4"/>
  <c r="J135" i="4"/>
  <c r="I135" i="4"/>
  <c r="J134" i="4"/>
  <c r="I134" i="4"/>
  <c r="J133" i="4"/>
  <c r="I133" i="4"/>
  <c r="J132" i="4"/>
  <c r="I132" i="4"/>
  <c r="J131" i="4"/>
  <c r="I131" i="4"/>
  <c r="J130" i="4"/>
  <c r="I130" i="4"/>
  <c r="J129" i="4"/>
  <c r="I129" i="4"/>
  <c r="J128" i="4"/>
  <c r="I128" i="4"/>
  <c r="J127" i="4"/>
  <c r="I127" i="4"/>
  <c r="J126" i="4"/>
  <c r="I126" i="4"/>
  <c r="J125" i="4"/>
  <c r="I125" i="4"/>
  <c r="J124" i="4"/>
  <c r="I124" i="4"/>
  <c r="J123" i="4"/>
  <c r="I123" i="4"/>
  <c r="J122" i="4"/>
  <c r="I122" i="4"/>
  <c r="J121" i="4"/>
  <c r="I121" i="4"/>
  <c r="J120" i="4"/>
  <c r="I120" i="4"/>
  <c r="J119" i="4"/>
  <c r="I119" i="4"/>
  <c r="J118" i="4"/>
  <c r="I118" i="4"/>
  <c r="J117" i="4"/>
  <c r="I117" i="4"/>
  <c r="J116" i="4"/>
  <c r="I116" i="4"/>
  <c r="J115" i="4"/>
  <c r="I115" i="4"/>
  <c r="J114" i="4"/>
  <c r="I114" i="4"/>
  <c r="J113" i="4"/>
  <c r="I113" i="4"/>
  <c r="J112" i="4"/>
  <c r="I112" i="4"/>
  <c r="J111" i="4"/>
  <c r="I111" i="4"/>
  <c r="J110" i="4"/>
  <c r="I110" i="4"/>
  <c r="J109" i="4"/>
  <c r="I109" i="4"/>
  <c r="J108" i="4"/>
  <c r="I108" i="4"/>
  <c r="J107" i="4"/>
  <c r="I107" i="4"/>
  <c r="J106" i="4"/>
  <c r="I106" i="4"/>
  <c r="J105" i="4"/>
  <c r="I105" i="4"/>
  <c r="J104" i="4"/>
  <c r="I104" i="4"/>
  <c r="J103" i="4"/>
  <c r="I103" i="4"/>
  <c r="J102" i="4"/>
  <c r="I102" i="4"/>
  <c r="J101" i="4"/>
  <c r="I101" i="4"/>
  <c r="J100" i="4"/>
  <c r="I100" i="4"/>
  <c r="J99" i="4"/>
  <c r="I99" i="4"/>
  <c r="J98" i="4"/>
  <c r="I98" i="4"/>
  <c r="J97" i="4"/>
  <c r="I97" i="4"/>
  <c r="J96" i="4"/>
  <c r="I96" i="4"/>
  <c r="J95" i="4"/>
  <c r="I95" i="4"/>
  <c r="J94" i="4"/>
  <c r="I94" i="4"/>
  <c r="J93" i="4"/>
  <c r="I93" i="4"/>
  <c r="J92" i="4"/>
  <c r="I92" i="4"/>
  <c r="J91" i="4"/>
  <c r="I91" i="4"/>
  <c r="J90" i="4"/>
  <c r="I90" i="4"/>
  <c r="J89" i="4"/>
  <c r="I89" i="4"/>
  <c r="J88" i="4"/>
  <c r="I88" i="4"/>
  <c r="J87" i="4"/>
  <c r="I87" i="4"/>
  <c r="J86" i="4"/>
  <c r="I86" i="4"/>
  <c r="J85" i="4"/>
  <c r="I85" i="4"/>
  <c r="J84" i="4"/>
  <c r="I84" i="4"/>
  <c r="J83" i="4"/>
  <c r="I83" i="4"/>
  <c r="J82" i="4"/>
  <c r="I82" i="4"/>
  <c r="J81" i="4"/>
  <c r="I81" i="4"/>
  <c r="J80" i="4"/>
  <c r="I80" i="4"/>
  <c r="J79" i="4"/>
  <c r="I79" i="4"/>
  <c r="J78" i="4"/>
  <c r="I78" i="4"/>
  <c r="J77" i="4"/>
  <c r="I77" i="4"/>
  <c r="J76" i="4"/>
  <c r="I76" i="4"/>
  <c r="J75" i="4"/>
  <c r="I75" i="4"/>
  <c r="J74" i="4"/>
  <c r="I74" i="4"/>
  <c r="J73" i="4"/>
  <c r="I73" i="4"/>
  <c r="J72" i="4"/>
  <c r="I72" i="4"/>
  <c r="J71" i="4"/>
  <c r="I71" i="4"/>
  <c r="J70" i="4"/>
  <c r="I70" i="4"/>
  <c r="J69" i="4"/>
  <c r="I69" i="4"/>
  <c r="J68" i="4"/>
  <c r="I68" i="4"/>
  <c r="J67" i="4"/>
  <c r="I67" i="4"/>
  <c r="J66" i="4"/>
  <c r="I66" i="4"/>
  <c r="J65" i="4"/>
  <c r="I65" i="4"/>
  <c r="J64" i="4"/>
  <c r="I64" i="4"/>
  <c r="J63" i="4"/>
  <c r="I63" i="4"/>
  <c r="J62" i="4"/>
  <c r="I62" i="4"/>
  <c r="J61" i="4"/>
  <c r="I61" i="4"/>
  <c r="J60" i="4"/>
  <c r="I60" i="4"/>
  <c r="J59" i="4"/>
  <c r="I59" i="4"/>
  <c r="J58" i="4"/>
  <c r="I58" i="4"/>
  <c r="J57" i="4"/>
  <c r="I57" i="4"/>
  <c r="J56" i="4"/>
  <c r="I56" i="4"/>
  <c r="J55" i="4"/>
  <c r="I55" i="4"/>
  <c r="J54" i="4"/>
  <c r="I54" i="4"/>
  <c r="J53" i="4"/>
  <c r="I53" i="4"/>
  <c r="J52" i="4"/>
  <c r="I52" i="4"/>
  <c r="J51" i="4"/>
  <c r="I51" i="4"/>
  <c r="J50" i="4"/>
  <c r="I50" i="4"/>
  <c r="J49" i="4"/>
  <c r="I49" i="4"/>
  <c r="J48" i="4"/>
  <c r="I48" i="4"/>
  <c r="J47" i="4"/>
  <c r="I47" i="4"/>
  <c r="J46" i="4"/>
  <c r="I46" i="4"/>
  <c r="J45" i="4"/>
  <c r="I45" i="4"/>
  <c r="J44" i="4"/>
  <c r="I44" i="4"/>
  <c r="J43" i="4"/>
  <c r="I43" i="4"/>
  <c r="J42" i="4"/>
  <c r="I42" i="4"/>
  <c r="J41" i="4"/>
  <c r="I41" i="4"/>
  <c r="J40" i="4"/>
  <c r="I40" i="4"/>
  <c r="J39" i="4"/>
  <c r="I39" i="4"/>
  <c r="J38" i="4"/>
  <c r="I38" i="4"/>
  <c r="J37" i="4"/>
  <c r="I37" i="4"/>
  <c r="J36" i="4"/>
  <c r="I36" i="4"/>
  <c r="J35" i="4"/>
  <c r="I35" i="4"/>
  <c r="J34" i="4"/>
  <c r="I34" i="4"/>
  <c r="J33" i="4"/>
  <c r="I33" i="4"/>
  <c r="J32" i="4"/>
  <c r="I32" i="4"/>
  <c r="J31" i="4"/>
  <c r="I31" i="4"/>
  <c r="J30" i="4"/>
  <c r="I30" i="4"/>
  <c r="J29" i="4"/>
  <c r="I29" i="4"/>
  <c r="J28" i="4"/>
  <c r="I28" i="4"/>
  <c r="J27" i="4"/>
  <c r="I27" i="4"/>
  <c r="J26" i="4"/>
  <c r="I26" i="4"/>
  <c r="J25" i="4"/>
  <c r="I25" i="4"/>
  <c r="J24" i="4"/>
  <c r="I24" i="4"/>
  <c r="J23" i="4"/>
  <c r="I23" i="4"/>
  <c r="J22" i="4"/>
  <c r="I22" i="4"/>
  <c r="J21" i="4"/>
  <c r="I21" i="4"/>
  <c r="J20" i="4"/>
  <c r="I20" i="4"/>
  <c r="J19" i="4"/>
  <c r="I19" i="4"/>
  <c r="J18" i="4"/>
  <c r="I18" i="4"/>
  <c r="J17" i="4"/>
  <c r="I17" i="4"/>
  <c r="J16" i="4"/>
  <c r="I16" i="4"/>
  <c r="J15" i="4"/>
  <c r="I15" i="4"/>
  <c r="J14" i="4"/>
  <c r="I14" i="4"/>
  <c r="J13" i="4"/>
  <c r="I13" i="4"/>
  <c r="J12" i="4"/>
  <c r="I12" i="4"/>
  <c r="J11" i="4"/>
  <c r="I11" i="4"/>
  <c r="J10" i="4"/>
  <c r="I10" i="4"/>
  <c r="J9" i="4"/>
  <c r="I9" i="4"/>
  <c r="J8" i="4"/>
  <c r="I8" i="4"/>
  <c r="J7" i="4"/>
  <c r="I7" i="4"/>
  <c r="J6" i="4"/>
  <c r="I6" i="4"/>
  <c r="J5" i="4"/>
  <c r="I5" i="4"/>
  <c r="J4" i="4"/>
  <c r="I4" i="4"/>
  <c r="J3" i="4"/>
  <c r="I3" i="4"/>
  <c r="J2" i="4"/>
  <c r="I2" i="4"/>
  <c r="C8" i="6"/>
  <c r="B8" i="6"/>
  <c r="Q6" i="6"/>
  <c r="O6" i="6"/>
  <c r="N6" i="6"/>
  <c r="M6" i="6"/>
  <c r="L6" i="6"/>
  <c r="K6" i="6"/>
  <c r="J6" i="6"/>
  <c r="I6" i="6"/>
  <c r="H6" i="6"/>
  <c r="G6" i="6"/>
  <c r="F6" i="6"/>
  <c r="E6" i="6"/>
  <c r="C6" i="6"/>
  <c r="B6" i="6"/>
  <c r="Q5" i="6"/>
  <c r="O5" i="6"/>
  <c r="N5" i="6"/>
  <c r="M5" i="6"/>
  <c r="L5" i="6"/>
  <c r="K5" i="6"/>
  <c r="J5" i="6"/>
  <c r="I5" i="6"/>
  <c r="H5" i="6"/>
  <c r="G5" i="6"/>
  <c r="F5" i="6"/>
  <c r="E5" i="6"/>
  <c r="C5" i="6"/>
  <c r="B5" i="6"/>
  <c r="Q4" i="6"/>
  <c r="O4" i="6"/>
  <c r="N4" i="6"/>
  <c r="M4" i="6"/>
  <c r="L4" i="6"/>
  <c r="K4" i="6"/>
  <c r="J4" i="6"/>
  <c r="I4" i="6"/>
  <c r="H4" i="6"/>
  <c r="G4" i="6"/>
  <c r="F4" i="6"/>
  <c r="E4" i="6"/>
  <c r="C4" i="6"/>
  <c r="B4" i="6"/>
  <c r="Q3" i="6"/>
  <c r="O3" i="6"/>
  <c r="N3" i="6"/>
  <c r="M3" i="6"/>
  <c r="L3" i="6"/>
  <c r="K3" i="6"/>
  <c r="J3" i="6"/>
  <c r="I3" i="6"/>
  <c r="H3" i="6"/>
  <c r="G3" i="6"/>
  <c r="F3" i="6"/>
  <c r="E3" i="6"/>
  <c r="C3" i="6"/>
  <c r="B3" i="6"/>
  <c r="Q2" i="6"/>
  <c r="O2" i="6"/>
  <c r="N2" i="6"/>
  <c r="N8" i="6" s="1"/>
  <c r="M2" i="6"/>
  <c r="L2" i="6"/>
  <c r="K2" i="6"/>
  <c r="J2" i="6"/>
  <c r="J8" i="6" s="1"/>
  <c r="I2" i="6"/>
  <c r="H2" i="6"/>
  <c r="G2" i="6"/>
  <c r="F2" i="6"/>
  <c r="F8" i="6" s="1"/>
  <c r="E2" i="6"/>
  <c r="C2" i="6"/>
  <c r="B2" i="6"/>
  <c r="Q15" i="10"/>
  <c r="P15" i="10"/>
  <c r="O15" i="10"/>
  <c r="N15" i="10"/>
  <c r="M15" i="10"/>
  <c r="L15" i="10"/>
  <c r="K15" i="10"/>
  <c r="H15" i="10"/>
  <c r="G15" i="10"/>
  <c r="F15" i="10"/>
  <c r="E15" i="10"/>
  <c r="D15" i="10"/>
  <c r="C15" i="10"/>
  <c r="B15" i="10"/>
  <c r="Q14" i="10"/>
  <c r="P14" i="10"/>
  <c r="O14" i="10"/>
  <c r="N14" i="10"/>
  <c r="M14" i="10"/>
  <c r="L14" i="10"/>
  <c r="K14" i="10"/>
  <c r="H14" i="10"/>
  <c r="G14" i="10"/>
  <c r="F14" i="10"/>
  <c r="E14" i="10"/>
  <c r="D14" i="10"/>
  <c r="C14" i="10"/>
  <c r="B14" i="10"/>
  <c r="Q13" i="10"/>
  <c r="P13" i="10"/>
  <c r="O13" i="10"/>
  <c r="N13" i="10"/>
  <c r="M13" i="10"/>
  <c r="L13" i="10"/>
  <c r="K13" i="10"/>
  <c r="H13" i="10"/>
  <c r="G13" i="10"/>
  <c r="F13" i="10"/>
  <c r="E13" i="10"/>
  <c r="D13" i="10"/>
  <c r="C13" i="10"/>
  <c r="B13" i="10"/>
  <c r="Q12" i="10"/>
  <c r="P12" i="10"/>
  <c r="O12" i="10"/>
  <c r="N12" i="10"/>
  <c r="M12" i="10"/>
  <c r="L12" i="10"/>
  <c r="K12" i="10"/>
  <c r="H12" i="10"/>
  <c r="G12" i="10"/>
  <c r="F12" i="10"/>
  <c r="E12" i="10"/>
  <c r="D12" i="10"/>
  <c r="C12" i="10"/>
  <c r="B12" i="10"/>
  <c r="Q11" i="10"/>
  <c r="P11" i="10"/>
  <c r="O11" i="10"/>
  <c r="N11" i="10"/>
  <c r="M11" i="10"/>
  <c r="L11" i="10"/>
  <c r="K11" i="10"/>
  <c r="H11" i="10"/>
  <c r="G11" i="10"/>
  <c r="F11" i="10"/>
  <c r="E11" i="10"/>
  <c r="D11" i="10"/>
  <c r="C11" i="10"/>
  <c r="B11" i="10"/>
  <c r="Q10" i="10"/>
  <c r="P10" i="10"/>
  <c r="O10" i="10"/>
  <c r="N10" i="10"/>
  <c r="M10" i="10"/>
  <c r="L10" i="10"/>
  <c r="K10" i="10"/>
  <c r="H10" i="10"/>
  <c r="G10" i="10"/>
  <c r="F10" i="10"/>
  <c r="E10" i="10"/>
  <c r="D10" i="10"/>
  <c r="C10" i="10"/>
  <c r="B10" i="10"/>
  <c r="Q8" i="10"/>
  <c r="P8" i="10"/>
  <c r="O8" i="10"/>
  <c r="N8" i="10"/>
  <c r="M8" i="10"/>
  <c r="L8" i="10"/>
  <c r="K8" i="10"/>
  <c r="H8" i="10"/>
  <c r="G8" i="10"/>
  <c r="F8" i="10"/>
  <c r="E8" i="10"/>
  <c r="D8" i="10"/>
  <c r="C8" i="10"/>
  <c r="B8" i="10"/>
  <c r="Q7" i="10"/>
  <c r="P7" i="10"/>
  <c r="O7" i="10"/>
  <c r="N7" i="10"/>
  <c r="M7" i="10"/>
  <c r="L7" i="10"/>
  <c r="K7" i="10"/>
  <c r="H7" i="10"/>
  <c r="G7" i="10"/>
  <c r="F7" i="10"/>
  <c r="E7" i="10"/>
  <c r="D7" i="10"/>
  <c r="C7" i="10"/>
  <c r="B7" i="10"/>
  <c r="Q6" i="10"/>
  <c r="P6" i="10"/>
  <c r="O6" i="10"/>
  <c r="N6" i="10"/>
  <c r="M6" i="10"/>
  <c r="L6" i="10"/>
  <c r="K6" i="10"/>
  <c r="H6" i="10"/>
  <c r="G6" i="10"/>
  <c r="F6" i="10"/>
  <c r="E6" i="10"/>
  <c r="D6" i="10"/>
  <c r="C6" i="10"/>
  <c r="B6" i="10"/>
  <c r="Q5" i="10"/>
  <c r="P5" i="10"/>
  <c r="O5" i="10"/>
  <c r="N5" i="10"/>
  <c r="M5" i="10"/>
  <c r="L5" i="10"/>
  <c r="K5" i="10"/>
  <c r="H5" i="10"/>
  <c r="G5" i="10"/>
  <c r="F5" i="10"/>
  <c r="E5" i="10"/>
  <c r="D5" i="10"/>
  <c r="C5" i="10"/>
  <c r="B5" i="10"/>
  <c r="Q4" i="10"/>
  <c r="P4" i="10"/>
  <c r="O4" i="10"/>
  <c r="N4" i="10"/>
  <c r="M4" i="10"/>
  <c r="L4" i="10"/>
  <c r="K4" i="10"/>
  <c r="H4" i="10"/>
  <c r="G4" i="10"/>
  <c r="F4" i="10"/>
  <c r="E4" i="10"/>
  <c r="D4" i="10"/>
  <c r="C4" i="10"/>
  <c r="B4" i="10"/>
  <c r="Q3" i="10"/>
  <c r="P3" i="10"/>
  <c r="O3" i="10"/>
  <c r="N3" i="10"/>
  <c r="M3" i="10"/>
  <c r="L3" i="10"/>
  <c r="K3" i="10"/>
  <c r="H3" i="10"/>
  <c r="G3" i="10"/>
  <c r="F3" i="10"/>
  <c r="E3" i="10"/>
  <c r="D3" i="10"/>
  <c r="C3" i="10"/>
  <c r="K8" i="6" l="1"/>
  <c r="P4" i="6"/>
  <c r="G8" i="6"/>
  <c r="P6" i="6"/>
  <c r="H8" i="6"/>
  <c r="L8" i="6"/>
  <c r="P3" i="6"/>
  <c r="E8" i="6"/>
  <c r="I8" i="6"/>
  <c r="M8" i="6"/>
  <c r="P5" i="6"/>
  <c r="P2" i="6"/>
</calcChain>
</file>

<file path=xl/sharedStrings.xml><?xml version="1.0" encoding="utf-8"?>
<sst xmlns="http://schemas.openxmlformats.org/spreadsheetml/2006/main" count="1262" uniqueCount="546">
  <si>
    <t>Type</t>
  </si>
  <si>
    <t>Single</t>
  </si>
  <si>
    <t>2-Stage</t>
  </si>
  <si>
    <t>3-Stage</t>
  </si>
  <si>
    <t>Water</t>
  </si>
  <si>
    <t>Ballooffalo, Pyukumuku, Lioxin</t>
  </si>
  <si>
    <t>Ice</t>
  </si>
  <si>
    <t>Rock</t>
  </si>
  <si>
    <t>Ground</t>
  </si>
  <si>
    <t>Heatmor, Scarade</t>
  </si>
  <si>
    <t>Fighting</t>
  </si>
  <si>
    <t>Fire</t>
  </si>
  <si>
    <t>Grass</t>
  </si>
  <si>
    <t>Bug</t>
  </si>
  <si>
    <t>Graecust, Butterfree, Silvurah</t>
  </si>
  <si>
    <t>Poison</t>
  </si>
  <si>
    <t>Scrunge, Lioxin</t>
  </si>
  <si>
    <t>Normal</t>
  </si>
  <si>
    <t>Flying</t>
  </si>
  <si>
    <t>Delibird, Tropius, Sigilyph</t>
  </si>
  <si>
    <t>Dragon</t>
  </si>
  <si>
    <t>Electric</t>
  </si>
  <si>
    <t>Pincurchin, Lemurod</t>
  </si>
  <si>
    <t>Luxray, Utilitron, Electivire, Eelektross</t>
  </si>
  <si>
    <t>Psychic</t>
  </si>
  <si>
    <t>Unown, Sigilyph</t>
  </si>
  <si>
    <t>Ghost</t>
  </si>
  <si>
    <t>Dark</t>
  </si>
  <si>
    <t>Hydreigon, Kravokalypse</t>
  </si>
  <si>
    <t>Steel</t>
  </si>
  <si>
    <t>Fairy</t>
  </si>
  <si>
    <t>Aromatisse, Rapidash, Keelmora</t>
  </si>
  <si>
    <t>Pyramyth, Litholich, Stegrove, Macedon, Lycanroc x3, Prominoid</t>
  </si>
  <si>
    <t>#</t>
  </si>
  <si>
    <t>All Moves</t>
  </si>
  <si>
    <t>Weight</t>
  </si>
  <si>
    <t>New TM</t>
  </si>
  <si>
    <t>New TR</t>
  </si>
  <si>
    <t>Confide</t>
  </si>
  <si>
    <t>Mega Punch</t>
  </si>
  <si>
    <t>Swords Dance</t>
  </si>
  <si>
    <t>After You</t>
  </si>
  <si>
    <t>Double Team</t>
  </si>
  <si>
    <t>Liquidation</t>
  </si>
  <si>
    <t>Acrobatics</t>
  </si>
  <si>
    <t>Hyper Beam</t>
  </si>
  <si>
    <t>Work Up</t>
  </si>
  <si>
    <t>Mega Kick</t>
  </si>
  <si>
    <t>Body Slam</t>
  </si>
  <si>
    <t>Ally Switch</t>
  </si>
  <si>
    <t>Swagger</t>
  </si>
  <si>
    <t>Throat Chop</t>
  </si>
  <si>
    <t>Attract</t>
  </si>
  <si>
    <t>Giga Impact</t>
  </si>
  <si>
    <t>Cosmic Power</t>
  </si>
  <si>
    <t>Dragon Claw</t>
  </si>
  <si>
    <t>Pay Day</t>
  </si>
  <si>
    <t>Flamethrower</t>
  </si>
  <si>
    <t>Aqua Tail</t>
  </si>
  <si>
    <t>Hone Claws</t>
  </si>
  <si>
    <t>Iron Defense</t>
  </si>
  <si>
    <t>Brick Break</t>
  </si>
  <si>
    <t>Hidden Power</t>
  </si>
  <si>
    <t>Bulk Up</t>
  </si>
  <si>
    <t>Calm Mind</t>
  </si>
  <si>
    <t>Fire Punch</t>
  </si>
  <si>
    <t>Hydro Pump</t>
  </si>
  <si>
    <t>Block</t>
  </si>
  <si>
    <t>Incinerate</t>
  </si>
  <si>
    <t>Air Cutter</t>
  </si>
  <si>
    <t>Brutal Swing</t>
  </si>
  <si>
    <t>Secret Power</t>
  </si>
  <si>
    <t>Psyshock</t>
  </si>
  <si>
    <t>Ice Punch</t>
  </si>
  <si>
    <t>Surf</t>
  </si>
  <si>
    <t>Bounce</t>
  </si>
  <si>
    <t>Retaliate</t>
  </si>
  <si>
    <t>Fury Cutter</t>
  </si>
  <si>
    <t>Bulldoze</t>
  </si>
  <si>
    <t>Nature Power</t>
  </si>
  <si>
    <t>Roar</t>
  </si>
  <si>
    <t>Thunder Punch</t>
  </si>
  <si>
    <t>Ice Beam</t>
  </si>
  <si>
    <t>Bug Bite</t>
  </si>
  <si>
    <t>Flash</t>
  </si>
  <si>
    <t>Ominous Wind</t>
  </si>
  <si>
    <t>Dig</t>
  </si>
  <si>
    <t>Frost Breath</t>
  </si>
  <si>
    <t>Toxic</t>
  </si>
  <si>
    <t>Fly</t>
  </si>
  <si>
    <t>Blizzard</t>
  </si>
  <si>
    <t>Covet</t>
  </si>
  <si>
    <t>Struggle Bug</t>
  </si>
  <si>
    <t>Sucker Punch</t>
  </si>
  <si>
    <t>Façade</t>
  </si>
  <si>
    <t>Charge Beam</t>
  </si>
  <si>
    <t>Hail</t>
  </si>
  <si>
    <t>Pin Missile</t>
  </si>
  <si>
    <t>Low Kick</t>
  </si>
  <si>
    <t>Defog</t>
  </si>
  <si>
    <t>Rock Smash</t>
  </si>
  <si>
    <t>Vacuum Wave</t>
  </si>
  <si>
    <t>False Swipe</t>
  </si>
  <si>
    <t>Nasty Plot</t>
  </si>
  <si>
    <t>Thunderbolt</t>
  </si>
  <si>
    <t>Dive</t>
  </si>
  <si>
    <t>Power-Up Punch</t>
  </si>
  <si>
    <t>Ancient Power</t>
  </si>
  <si>
    <t>Fling</t>
  </si>
  <si>
    <t>Water Pulse</t>
  </si>
  <si>
    <t>Amnesia</t>
  </si>
  <si>
    <t>Venoshock</t>
  </si>
  <si>
    <t>Thunder</t>
  </si>
  <si>
    <t>Dragon Pulse</t>
  </si>
  <si>
    <t>Telekinesis</t>
  </si>
  <si>
    <t>Mud-Slap</t>
  </si>
  <si>
    <t>Giga Drain</t>
  </si>
  <si>
    <t>Rock Polish</t>
  </si>
  <si>
    <t>Magical Leaf</t>
  </si>
  <si>
    <t>Earthquake</t>
  </si>
  <si>
    <t>Drain Punch</t>
  </si>
  <si>
    <t>Rollout</t>
  </si>
  <si>
    <t>Sunny Day</t>
  </si>
  <si>
    <t>Solar Beam</t>
  </si>
  <si>
    <t>Drill Run</t>
  </si>
  <si>
    <t>Sky Drop</t>
  </si>
  <si>
    <t>Twister</t>
  </si>
  <si>
    <t>Thief</t>
  </si>
  <si>
    <t>Taunt</t>
  </si>
  <si>
    <t>Solar Blade</t>
  </si>
  <si>
    <t>Agility</t>
  </si>
  <si>
    <t>Dual Chop</t>
  </si>
  <si>
    <t>Quash</t>
  </si>
  <si>
    <t>String Shot</t>
  </si>
  <si>
    <t>Shadow Claw</t>
  </si>
  <si>
    <t>Fire Spin</t>
  </si>
  <si>
    <t>Focus Energy</t>
  </si>
  <si>
    <t>Earth Power</t>
  </si>
  <si>
    <t>Pluck</t>
  </si>
  <si>
    <t>Swift</t>
  </si>
  <si>
    <t>Light Screen</t>
  </si>
  <si>
    <t>Thunder Wave</t>
  </si>
  <si>
    <t>Metronome</t>
  </si>
  <si>
    <t>Electroweb</t>
  </si>
  <si>
    <t>Cut</t>
  </si>
  <si>
    <t>Seismic Toss</t>
  </si>
  <si>
    <t>Low Sweep</t>
  </si>
  <si>
    <t>Rock Slide</t>
  </si>
  <si>
    <t>Fire Blast</t>
  </si>
  <si>
    <t>Endeavor</t>
  </si>
  <si>
    <t>Payback</t>
  </si>
  <si>
    <t>Screech</t>
  </si>
  <si>
    <t>Waterfall</t>
  </si>
  <si>
    <t>Focus Punch</t>
  </si>
  <si>
    <t>Protect</t>
  </si>
  <si>
    <t>Foul Play</t>
  </si>
  <si>
    <t>Rain Dance</t>
  </si>
  <si>
    <t>Aerial Ace</t>
  </si>
  <si>
    <t>Reflect</t>
  </si>
  <si>
    <t>Vital Drain</t>
  </si>
  <si>
    <t>Gastro Acid</t>
  </si>
  <si>
    <t>Bullet Seed</t>
  </si>
  <si>
    <t>Counter</t>
  </si>
  <si>
    <t>Dragon Tail</t>
  </si>
  <si>
    <t>Roost</t>
  </si>
  <si>
    <t>Safeguard</t>
  </si>
  <si>
    <t>Tri Attack</t>
  </si>
  <si>
    <t>Defense Curl</t>
  </si>
  <si>
    <t>Rest</t>
  </si>
  <si>
    <t>Steel Wing</t>
  </si>
  <si>
    <t>Grass Knot</t>
  </si>
  <si>
    <t>Self-Destruct</t>
  </si>
  <si>
    <t>Substitute</t>
  </si>
  <si>
    <t>Gravity</t>
  </si>
  <si>
    <t>Iron Tail</t>
  </si>
  <si>
    <t>Double-Edge</t>
  </si>
  <si>
    <t>Charm</t>
  </si>
  <si>
    <t>Energy Ball</t>
  </si>
  <si>
    <t>Frustration</t>
  </si>
  <si>
    <t>Reversal</t>
  </si>
  <si>
    <t>Gunk Shot</t>
  </si>
  <si>
    <t>Shock Wave</t>
  </si>
  <si>
    <t>Dynamic Punch</t>
  </si>
  <si>
    <t>Rock Tomb</t>
  </si>
  <si>
    <t>Sludge Bomb</t>
  </si>
  <si>
    <t>Heal Bell</t>
  </si>
  <si>
    <t>Skill Swap</t>
  </si>
  <si>
    <t>Round</t>
  </si>
  <si>
    <t>Eerie Impulse</t>
  </si>
  <si>
    <t>Sludge Wave</t>
  </si>
  <si>
    <t>Smack Down</t>
  </si>
  <si>
    <t>Spikes</t>
  </si>
  <si>
    <t>Heat Wave</t>
  </si>
  <si>
    <t>Brine</t>
  </si>
  <si>
    <t>Mimic</t>
  </si>
  <si>
    <t>Fake Tears</t>
  </si>
  <si>
    <t>Snore</t>
  </si>
  <si>
    <t>Outrage</t>
  </si>
  <si>
    <t>Helping Hand</t>
  </si>
  <si>
    <t>Endure</t>
  </si>
  <si>
    <t>Softboiled</t>
  </si>
  <si>
    <t>Sandstorm</t>
  </si>
  <si>
    <t>Nightmare</t>
  </si>
  <si>
    <t>Scary Face</t>
  </si>
  <si>
    <t>Hyper Voice</t>
  </si>
  <si>
    <t>Smart Strike</t>
  </si>
  <si>
    <t>Will-O-Wisp</t>
  </si>
  <si>
    <t>Dark Pulse</t>
  </si>
  <si>
    <t>Return</t>
  </si>
  <si>
    <t>Icy Wind</t>
  </si>
  <si>
    <t>Sleep Talk</t>
  </si>
  <si>
    <t>Silver Wind</t>
  </si>
  <si>
    <t>Snarl</t>
  </si>
  <si>
    <t>Hex</t>
  </si>
  <si>
    <t>Megahorn</t>
  </si>
  <si>
    <t>Recycle</t>
  </si>
  <si>
    <t>Shadow Ball</t>
  </si>
  <si>
    <t>Baton Pass</t>
  </si>
  <si>
    <t>Iron Head</t>
  </si>
  <si>
    <t>Avalanche</t>
  </si>
  <si>
    <t>Flash Cannon</t>
  </si>
  <si>
    <t>Encore</t>
  </si>
  <si>
    <t>Stealth Rock</t>
  </si>
  <si>
    <t>Dazzling Gleam</t>
  </si>
  <si>
    <t>Knock Off</t>
  </si>
  <si>
    <t>Captivate</t>
  </si>
  <si>
    <t>Strength</t>
  </si>
  <si>
    <t>Crunch</t>
  </si>
  <si>
    <t>Laser Focus</t>
  </si>
  <si>
    <t>Natural Gift</t>
  </si>
  <si>
    <t>Last Resort</t>
  </si>
  <si>
    <t>Trick Room</t>
  </si>
  <si>
    <t>Future Sight</t>
  </si>
  <si>
    <t>Rock Climb</t>
  </si>
  <si>
    <t>U-Turn</t>
  </si>
  <si>
    <t>Uproar</t>
  </si>
  <si>
    <t>Magic Coat</t>
  </si>
  <si>
    <t>Whirlpool</t>
  </si>
  <si>
    <t>Stone Edge</t>
  </si>
  <si>
    <t>Magic Room</t>
  </si>
  <si>
    <t>Volt Switch</t>
  </si>
  <si>
    <t>Power Gem</t>
  </si>
  <si>
    <t>Beat Up</t>
  </si>
  <si>
    <t>Magnet Rise</t>
  </si>
  <si>
    <t>Trick</t>
  </si>
  <si>
    <t>Focus Blast</t>
  </si>
  <si>
    <t>Superpower</t>
  </si>
  <si>
    <t>Pain Split</t>
  </si>
  <si>
    <t>X-Scissor</t>
  </si>
  <si>
    <t>Grassy Terrain</t>
  </si>
  <si>
    <t>Signal Beam</t>
  </si>
  <si>
    <t>Torment</t>
  </si>
  <si>
    <t>Blaze Kick</t>
  </si>
  <si>
    <t>Role Play</t>
  </si>
  <si>
    <t>Electric Terrain</t>
  </si>
  <si>
    <t>Revenge</t>
  </si>
  <si>
    <t>Seed Bomb</t>
  </si>
  <si>
    <t>Misty Terrain</t>
  </si>
  <si>
    <t>Hurricane</t>
  </si>
  <si>
    <t>Flame Charge</t>
  </si>
  <si>
    <t>Overheat</t>
  </si>
  <si>
    <t>Psychic Terrain</t>
  </si>
  <si>
    <t>Imprison</t>
  </si>
  <si>
    <t>Muddy Water</t>
  </si>
  <si>
    <t>Wonder Room</t>
  </si>
  <si>
    <t>Weather Ball</t>
  </si>
  <si>
    <t>Sky Attack</t>
  </si>
  <si>
    <t>Snatch</t>
  </si>
  <si>
    <t>Embargo</t>
  </si>
  <si>
    <t>Echoed Voice</t>
  </si>
  <si>
    <t>Sand Tomb</t>
  </si>
  <si>
    <t>Spite</t>
  </si>
  <si>
    <t>Poison Jab</t>
  </si>
  <si>
    <t>Leaf Blade</t>
  </si>
  <si>
    <t>Icicle Spear</t>
  </si>
  <si>
    <t>Dragon Dance</t>
  </si>
  <si>
    <t>Super Fang</t>
  </si>
  <si>
    <t>Gyro Ball</t>
  </si>
  <si>
    <t>Wild Charge</t>
  </si>
  <si>
    <t>Mud Shot</t>
  </si>
  <si>
    <t>Close Combat</t>
  </si>
  <si>
    <t>Synthesis</t>
  </si>
  <si>
    <t>Chip Away</t>
  </si>
  <si>
    <t>Rock Blast</t>
  </si>
  <si>
    <t>Toxic Spikes</t>
  </si>
  <si>
    <t>Tailwind</t>
  </si>
  <si>
    <t>Zen Headbutt</t>
  </si>
  <si>
    <t>Scald</t>
  </si>
  <si>
    <t>Flare Blitz</t>
  </si>
  <si>
    <t>Tantrum</t>
  </si>
  <si>
    <t>Aura Sphere</t>
  </si>
  <si>
    <t>Assurance</t>
  </si>
  <si>
    <t>Power Swap</t>
  </si>
  <si>
    <t>Guard Swap</t>
  </si>
  <si>
    <t>Bug Buzz</t>
  </si>
  <si>
    <t>Aurora Veil</t>
  </si>
  <si>
    <t>Speed Swap</t>
  </si>
  <si>
    <t>Worry Seed</t>
  </si>
  <si>
    <t>Infestation</t>
  </si>
  <si>
    <t>Explosion</t>
  </si>
  <si>
    <t>Dream Eater</t>
  </si>
  <si>
    <t>Thunder Fang</t>
  </si>
  <si>
    <t>Brave Bird</t>
  </si>
  <si>
    <t>Ice Fang</t>
  </si>
  <si>
    <t>Fire Fang</t>
  </si>
  <si>
    <t>Psycho Cut</t>
  </si>
  <si>
    <t>Leaf Storm</t>
  </si>
  <si>
    <t>Breaking Swipe</t>
  </si>
  <si>
    <t>Power Whip</t>
  </si>
  <si>
    <t>Cross Poison</t>
  </si>
  <si>
    <t>Phantom Force</t>
  </si>
  <si>
    <t>Body Press</t>
  </si>
  <si>
    <t>Psych Up</t>
  </si>
  <si>
    <t>Electro Ball</t>
  </si>
  <si>
    <t>Heavy Slam</t>
  </si>
  <si>
    <t>Stored Power</t>
  </si>
  <si>
    <t>Full Collide</t>
  </si>
  <si>
    <t>Razor Shell</t>
  </si>
  <si>
    <t>Tail Slap</t>
  </si>
  <si>
    <t>Draining Kiss</t>
  </si>
  <si>
    <t>Heat Crash</t>
  </si>
  <si>
    <t>Play Rough</t>
  </si>
  <si>
    <t>Venom Drench</t>
  </si>
  <si>
    <t>Mystical Fire</t>
  </si>
  <si>
    <t>Darkest Lariat</t>
  </si>
  <si>
    <t>High Horsepower</t>
  </si>
  <si>
    <t>Air Slash</t>
  </si>
  <si>
    <t>Pollen Puff</t>
  </si>
  <si>
    <t>Psychic Fangs</t>
  </si>
  <si>
    <t>Megas</t>
  </si>
  <si>
    <t>Garbodor</t>
  </si>
  <si>
    <t>Cryogonal</t>
  </si>
  <si>
    <t>Crobat, Roserade, Eelektross</t>
  </si>
  <si>
    <t>Hektillion, Gallade</t>
  </si>
  <si>
    <t>Gardevoir, Gallade</t>
  </si>
  <si>
    <t>Spectrat, Cofagrigus, Palossand, Jellicent, Marowak</t>
  </si>
  <si>
    <t>Dunsparce/Drampa, Tauros, Miltank, Ballooffalo</t>
  </si>
  <si>
    <t>Turtonator/Drampa, Druddigon</t>
  </si>
  <si>
    <t>Heatmor, Durant, Tauros, Miltank, Turtonator/Torkoal</t>
  </si>
  <si>
    <t>Marowak, Houndoom/Arcanine</t>
  </si>
  <si>
    <t>Gardevoir, Azumarill/Wigglytuff</t>
  </si>
  <si>
    <t>Stat</t>
  </si>
  <si>
    <t>Mean</t>
  </si>
  <si>
    <t>Cool</t>
  </si>
  <si>
    <t>Moves</t>
  </si>
  <si>
    <t>Cute</t>
  </si>
  <si>
    <t>Clever</t>
  </si>
  <si>
    <t>Tough</t>
  </si>
  <si>
    <t>Beautiful</t>
  </si>
  <si>
    <t>No-0</t>
  </si>
  <si>
    <t>T</t>
  </si>
  <si>
    <t>Average</t>
  </si>
  <si>
    <t>Carbink</t>
  </si>
  <si>
    <t>Abomasnow</t>
  </si>
  <si>
    <t>Beedive, Burryrm, Terrazor, Galvantula</t>
  </si>
  <si>
    <t>Zebstrika, Heliolisk, Galvantula</t>
  </si>
  <si>
    <t>Sandaconda</t>
  </si>
  <si>
    <t>Magmuana, Golem, Gigalith</t>
  </si>
  <si>
    <t>Skuntank, Toxicroak, Garbodor, Swalot</t>
  </si>
  <si>
    <t>Magmuana, Magmortar, Talonflame</t>
  </si>
  <si>
    <t>Pealated, Talonflame, Butterfree, Crobat, Utilitron-Copter</t>
  </si>
  <si>
    <t>Method</t>
  </si>
  <si>
    <t>Pokemon</t>
  </si>
  <si>
    <t>Count</t>
  </si>
  <si>
    <t>Level</t>
  </si>
  <si>
    <t>Trade</t>
  </si>
  <si>
    <t>Trade w/ Dragon Scale</t>
  </si>
  <si>
    <t>Trade w/ Metal Coat</t>
  </si>
  <si>
    <t>Trade w/ Silver Powder</t>
  </si>
  <si>
    <t>Fire Stone</t>
  </si>
  <si>
    <t>Water Stone</t>
  </si>
  <si>
    <t>Thunder Stone</t>
  </si>
  <si>
    <t>Leaf Stone</t>
  </si>
  <si>
    <t>Sun Stone</t>
  </si>
  <si>
    <t>Moon Stone</t>
  </si>
  <si>
    <t>Shiny Stone</t>
  </si>
  <si>
    <t>Dusk Stone</t>
  </si>
  <si>
    <t>Dawn Stone</t>
  </si>
  <si>
    <t>Friendship</t>
  </si>
  <si>
    <t>Graveler, Boldore</t>
  </si>
  <si>
    <t>Plecuum</t>
  </si>
  <si>
    <t>Gobellos</t>
  </si>
  <si>
    <t>Twintura</t>
  </si>
  <si>
    <t>Growlithe</t>
  </si>
  <si>
    <t>Shellder</t>
  </si>
  <si>
    <t>Eelektrik</t>
  </si>
  <si>
    <t>Exeggcute</t>
  </si>
  <si>
    <t>Helioptile</t>
  </si>
  <si>
    <t>Jigglypuff</t>
  </si>
  <si>
    <t>Roselia</t>
  </si>
  <si>
    <t>Doublade</t>
  </si>
  <si>
    <t>Kirlia</t>
  </si>
  <si>
    <t>Burrorm</t>
  </si>
  <si>
    <t>Trade w/ Magmarizer</t>
  </si>
  <si>
    <t>Trade w/ Sachet</t>
  </si>
  <si>
    <t>Spritzee</t>
  </si>
  <si>
    <t>Magmar</t>
  </si>
  <si>
    <t>Electabuzz</t>
  </si>
  <si>
    <t>Ice Stone</t>
  </si>
  <si>
    <t>Elpine</t>
  </si>
  <si>
    <t>High Cleverness</t>
  </si>
  <si>
    <t>Ascelyte</t>
  </si>
  <si>
    <t>Trade w/ King's Rock</t>
  </si>
  <si>
    <t>Slowpoke</t>
  </si>
  <si>
    <t>Level near Mossy Rock</t>
  </si>
  <si>
    <t>Level on High Mountain</t>
  </si>
  <si>
    <t>Lithoshroom</t>
  </si>
  <si>
    <t>Crabrawler, Wingull</t>
  </si>
  <si>
    <t>Level knowing Submission</t>
  </si>
  <si>
    <t>Level knowing Iron Head</t>
  </si>
  <si>
    <t>Basculin (Red)</t>
  </si>
  <si>
    <t>Basculin (Blue)</t>
  </si>
  <si>
    <t>Level knowing Sacred Sword</t>
  </si>
  <si>
    <t>Farfetch'd</t>
  </si>
  <si>
    <t>Trade w/ Dragon Fang</t>
  </si>
  <si>
    <t>Level w/ Poison Barb</t>
  </si>
  <si>
    <t>Montura</t>
  </si>
  <si>
    <t>Electivire, Beheeyem</t>
  </si>
  <si>
    <t>Spectrat, Sawsbuck, Freezelk, Moorfrost, Ursaring, Heliolisk</t>
  </si>
  <si>
    <t>Group Name</t>
  </si>
  <si>
    <t>Members</t>
  </si>
  <si>
    <t>Field</t>
  </si>
  <si>
    <t>Monster</t>
  </si>
  <si>
    <t>Water 1</t>
  </si>
  <si>
    <t>Water 2</t>
  </si>
  <si>
    <t>Water 3</t>
  </si>
  <si>
    <t>Amorphous</t>
  </si>
  <si>
    <t>Human-Like</t>
  </si>
  <si>
    <t>Mineral</t>
  </si>
  <si>
    <t>Undiscovered</t>
  </si>
  <si>
    <t>Trade w/ Reaper Cloth</t>
  </si>
  <si>
    <t>Dusclops</t>
  </si>
  <si>
    <t>Faerunee, Roselia family, Marill family, Mawile, Falinks, Jigglypuff family, Spritzee family, Carbink,  Moroth family</t>
  </si>
  <si>
    <t>Toybot family, Trubbish family, Lithoshroom family, Geodude family, Falinks, Cufant family, Vanillite family, Minior family, Cryogonal, Dhelmise, Roggenrola family, Carbink, Yamask family, Obelith family, Bronzor family, Honedge family</t>
  </si>
  <si>
    <t>Scarabouch, Sableye, Rugblin family, Trigenee family, Jynx, Lucario, Elekid family, Croagunk family, Ralts family, Elgyem family, Mienfoo family, Ascelyte family, Magmar family</t>
  </si>
  <si>
    <t>Newtiny family, Faerunee, Burrorm family, Gulpin family, Tynamo family, Sandygast family, Pincurchion, Frillish family, Scrunge, Duskull family, Ralts family, Yamask family</t>
  </si>
  <si>
    <t>Tigrissle family, Crabrawler family, Shellder family, Cuttlelass family</t>
  </si>
  <si>
    <t>Magikarp family, Basculin family, Inkay family, Finneon family, Gobellos family, Plecuum family, Lioxin, Cuttlelass family</t>
  </si>
  <si>
    <t>Budew, Azurill, Joroo, Smoochum, Riolu, Igglybuff, Unown, Magby</t>
  </si>
  <si>
    <t>Fanfowl family, Hoothoot family, Fletchinder family, Zubat family, Noibat family, Farfetch'd family, Wingull family, Sigilyph</t>
  </si>
  <si>
    <t>Caeleaf family, Roselia family, Sothodil family, Lithoshroom family, Snover family, Lemurod, Exeggcute family, Tropius, Stegrowth family</t>
  </si>
  <si>
    <t>Newtiny family, Marill family, Slowpoke family, Delibird, Inkay family, Wingull family, Pyukumuku, Pincurchion</t>
  </si>
  <si>
    <r>
      <t xml:space="preserve">Iguava family, Slowpoke family, Magikarp family, Snover family, Drampa, Tropius, Stegrowth family, Angkol family, Helioptile family, </t>
    </r>
    <r>
      <rPr>
        <b/>
        <sz val="11"/>
        <color theme="1"/>
        <rFont val="Calibri"/>
        <family val="2"/>
        <scheme val="minor"/>
      </rPr>
      <t>Torkoal</t>
    </r>
    <r>
      <rPr>
        <sz val="11"/>
        <color theme="1"/>
        <rFont val="Calibri"/>
        <family val="2"/>
        <scheme val="minor"/>
      </rPr>
      <t>, Turtonator, Druddigon</t>
    </r>
  </si>
  <si>
    <t>Iguava family, Burrorm family, Noibat family, Drampa, Deino family, Gobellos family, Trapinch family, Silicobra family, Helioptile family, Turtonator, Druddigon</t>
  </si>
  <si>
    <t>Graecust, Roserade, Tsareena</t>
  </si>
  <si>
    <t>Vanilluxe, Mamoswine</t>
  </si>
  <si>
    <t>Claymander, Golem, Thylone, Mamoswine</t>
  </si>
  <si>
    <t>Haxorus, Hydreigon</t>
  </si>
  <si>
    <t>Level knowing Stomp</t>
  </si>
  <si>
    <t>Steenee</t>
  </si>
  <si>
    <t>Piloswine</t>
  </si>
  <si>
    <t>Level knowing Ancient Power</t>
  </si>
  <si>
    <t>*Day Requirement</t>
  </si>
  <si>
    <t>*Night Requirement</t>
  </si>
  <si>
    <t>Rockruff, Budew, Riolu</t>
  </si>
  <si>
    <t>*Hold console upside-down</t>
  </si>
  <si>
    <t>Inkay</t>
  </si>
  <si>
    <t>High Beauty</t>
  </si>
  <si>
    <t>Feebas</t>
  </si>
  <si>
    <t>Caeleaf/Sprop, Iguava/Chucklava, Newtiny/Ruggeft, Palrat, Shinx/Luxio, Stunky, Fanfowl/Plumifowl, Hoothoot, Toybot/Aibot, Trubbish, Caterpie/Metapod, Sothodil, Gulpin, Deerling, Marill, Slowpoke, Magikarp, Tigrissle, Slakoth/Vigoroth, Bounsweet, Geodude, Rugblin, Houndour, Jaquol, Blitzle, Fletchling/Fletchinder, Cufant, Phanpy, Teddiursa, Tigenee/Hexyon, Termill, Rockruff x3*, Elpine, Snover, Swinub, Vanillite/Vanillish, Smoochum, Zubat, Noibat, Zorua, Jigglypuff, Elekid, Tynamo, Joltik, Inkay*, Croagunk, Deino/Zweilous, Axew/Fraxure, Wingull, Finneon, Frillish, Cuttlelass/Dreadnautilus, Cubone*, Duskull, Ralts/Kirlia, Elgyem, Roggenrola, Stegrowth, Angkol, Mienfoo, Obelith, Silicobra, Ponyta, Magby, Moroth, Yamask, Bronzor, Honedge</t>
  </si>
  <si>
    <t>*Dawn/Dusk Requirement</t>
  </si>
  <si>
    <t>Rockruff</t>
  </si>
  <si>
    <t>Gen</t>
  </si>
  <si>
    <t>I</t>
  </si>
  <si>
    <t>II</t>
  </si>
  <si>
    <t>III</t>
  </si>
  <si>
    <t>IV</t>
  </si>
  <si>
    <t>V</t>
  </si>
  <si>
    <t>VI</t>
  </si>
  <si>
    <t>VII</t>
  </si>
  <si>
    <t>VIII</t>
  </si>
  <si>
    <t>Trubbish family, Deerling family, Basculin, Blitzle family, Vanillite family, Cryogonal, Zorua family, Tynamo family (Egelan), Joltik family, Deino family, Heatmor (Egelan), Durant (Egelan), Axew family, Frillish family, Elgyem family, Sigilyph, Roggenrola family, Mienfoo family, Yamask family, Druddigon</t>
  </si>
  <si>
    <t>Fletchling family, Noibat family, Spritzee family, Inkay family, Carbink, Helioptile family, Honedge family</t>
  </si>
  <si>
    <t>Bounsweet family, Rockruff family, Drampa, Minior, Sandygast family, Crabrawler family, Pyukumuku, Dhelmise, Turtonator</t>
  </si>
  <si>
    <t>Falinks, Cufant family, Pincurchion, Silicobra family</t>
  </si>
  <si>
    <t>Caterpie family, Slowpoke &amp; Slowbro, Magikarp family, Geodude family, Growlithe family, Pinsir, Jynx, Zubat &amp; Golbat, Jigglypuff &amp; Wigglytuff, Electabuzz, Farfetch'd, Exeggcute &amp; Exeggutor (Alolan), Shellder family, Cubone (Egelan) &amp; Marowak (Alolan), Tauros (Egelan), Ponyta family (Egelan), Magmar</t>
  </si>
  <si>
    <t xml:space="preserve">Hoothoot family (Egelan), Marill &amp; Azumarill, Slowking, Houndour family, Phanpy family, Teddiursa family, Heracross, Swinub &amp; Piloswine, Smoochum, Crobat, Dunsparce, Igglybuff, Delibird (Egelan), Elekid, Unown, Miltank (Egelan), Magby </t>
  </si>
  <si>
    <t>Shinx family, Stunky family, Budew &amp; Roserade, Snover family, Mamoswine, Riolu family, Electivire, Croagunk family, Finneon family, Dusknoir, Gallade, Magmortar, Bronzor family</t>
  </si>
  <si>
    <t>Heracross/Pinsir, Scarade, Durant</t>
  </si>
  <si>
    <t>Roselia, Gulpin family, Azurill, Feebas family, Slakoth family, Mawile, Sableye, Absol, Tropius, Wingull &amp; Pelipper, Duskull &amp; Dusclops, Ralts family, Torkoal</t>
  </si>
  <si>
    <t>Runogre, Lucario, Kendo'no, Crabominable, Mienshao, Toxicroak, Pikeral-Red</t>
  </si>
  <si>
    <t>Compensation</t>
  </si>
  <si>
    <t>HP</t>
  </si>
  <si>
    <t>Atk</t>
  </si>
  <si>
    <t>Def</t>
  </si>
  <si>
    <t>SpA</t>
  </si>
  <si>
    <t>SpD</t>
  </si>
  <si>
    <t>Spe</t>
  </si>
  <si>
    <t>Mode</t>
  </si>
  <si>
    <t>All</t>
  </si>
  <si>
    <t>Median</t>
  </si>
  <si>
    <t>Total</t>
  </si>
  <si>
    <t>Fully Evolved</t>
  </si>
  <si>
    <t>Fully Evolved w/ Legendaries</t>
  </si>
  <si>
    <t>All w/ Legendaries</t>
  </si>
  <si>
    <t>Std. Dev</t>
  </si>
  <si>
    <t>Max</t>
  </si>
  <si>
    <t>Min</t>
  </si>
  <si>
    <t>Poltergeist</t>
  </si>
  <si>
    <t>Returned</t>
  </si>
  <si>
    <t>Current TM (10)</t>
  </si>
  <si>
    <t>Old TM (.1)</t>
  </si>
  <si>
    <t>Old Tutor (.01)</t>
  </si>
  <si>
    <t>Gen VIII TM (5)</t>
  </si>
  <si>
    <t>TR (1)</t>
  </si>
  <si>
    <t>Tutor (2)</t>
  </si>
  <si>
    <t>Magmortar, Torkoal (Sky), Houndoom (Earth)</t>
  </si>
  <si>
    <t>Rockruff, Joroo, Cubone</t>
  </si>
  <si>
    <t>Pinsir (Sky)</t>
  </si>
  <si>
    <t>Sableye (Earth)</t>
  </si>
  <si>
    <t>Sableye (Earth), Houndoom (Earth), Absol, Gyarados</t>
  </si>
  <si>
    <t>Lucario, Torkoal (Sky), Garbodor, Mawile (Sky)</t>
  </si>
  <si>
    <t>Claymander, Azumarill (Earth), Utilitron-Boat</t>
  </si>
  <si>
    <t>Butterfree, Heracross/Pinsir</t>
  </si>
  <si>
    <t>Noivern, Prominoid, Kendo'no, Pelipper, Antarctross, Rapidash, Noctowl</t>
  </si>
  <si>
    <t>Freezelk, Moorfrost, Jynx, Abomasnow, Antarctross, Cloyster, Crabominable</t>
  </si>
  <si>
    <t>Pealated, Wigglytuff (Sky), Slaking</t>
  </si>
  <si>
    <t>Slowbro, Slowking, Pyramyth, Bronzong (Earth), Malamar, Beheeyem, Jynx</t>
  </si>
  <si>
    <t>Sableye (Earth), Dhelmise, Faerunee</t>
  </si>
  <si>
    <t>Sableye (Earth), Absol</t>
  </si>
  <si>
    <t>Mawile (Earth)</t>
  </si>
  <si>
    <t>Faerunee, Mawile (Earth), Carbink</t>
  </si>
  <si>
    <t>Sosphodel, Stegrove, Exeggutor (Earth), Litholich, Sawsbuck, Abomasnow</t>
  </si>
  <si>
    <t>Noctowl, Houndoom (Earth), Skuntank, Zoroark, Malamar, Keelmora</t>
  </si>
  <si>
    <t>Falinks, Heracross (Earth)</t>
  </si>
  <si>
    <t>Tropius (Sky), Dhelmise, Lemurod</t>
  </si>
  <si>
    <t>Palossand, Runogre, Donphan (Sky), Sandaconda</t>
  </si>
  <si>
    <t>Gyarados, Pikeral x2, Slowbro, Slowking, Vorplec/Dragobellos, Jellicent, Beedive, Cloyster, Pelipper, Lumineon, Milotic</t>
  </si>
  <si>
    <t>Heracross (Earth), Lucario, Gallade (Sky)</t>
  </si>
  <si>
    <t>Butterfree, Slowking/Slowbro, Gardevoir/Gallade, Beheeyem</t>
  </si>
  <si>
    <t>Mawile (Sky), Gardevoir (Earth), Milotic</t>
  </si>
  <si>
    <t>Gyarados, Milotic, Slowking/Slowbro</t>
  </si>
  <si>
    <t>New Mons</t>
  </si>
  <si>
    <t>Trade w/ Electirizer</t>
  </si>
  <si>
    <t>Total non-traditional</t>
  </si>
  <si>
    <t>Budew*, Golbat, Igglybuff, Azurill, Riolu*, Joroo*</t>
  </si>
  <si>
    <t>Egelas Dex</t>
  </si>
  <si>
    <t>Bty</t>
  </si>
  <si>
    <t>Clvr</t>
  </si>
  <si>
    <t>Tgh</t>
  </si>
  <si>
    <t>Burryrm, Paraiagon, Exeggutor (Earth), Dragobellos (Sky), Noivern</t>
  </si>
  <si>
    <t>Lucario, Vorplec (Earth), Macedon, Bronzong (Sky), Pikeral-Blue, Copperajah (Earth)</t>
  </si>
  <si>
    <t>Utilitron x3, Aegislash (Earth), Silvurah, Kravokalypse</t>
  </si>
  <si>
    <t>Aegislash (Earth), Dusknoir</t>
  </si>
  <si>
    <t>Caeleaf family, Caterpie family, Montura family, Scarabouch, Tigrissle family, Joltik family, Termill family, Heracross, Pinsir, Durant</t>
  </si>
  <si>
    <t>Palrat family, Shinx family, Stunky family, Deerling family, Slakoth family, Mawile, Rugblin family, Growlithe family, Houndour family, Absol, Jaquol family, Blitzle family, Cufant family, Phanpy family, Teddiursa family, Rockruff family, Elpine family, Swinub family, Dunsparce, Lucario, Zorua family, Delibird, Farfetch'd family, Lemurod, Heatmor, Cubone family, Mienfoo family, Silicobra family, Tauros &amp; Miltank, Ponyta family, Torkoal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</si>
</sst>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rgb="FF000000"/>
      <name val="Calibri"/>
      <family val="2"/>
    </font>
    <font>
      <b/>
      <sz val="11"/>
      <color rgb="FF000000"/>
      <name val="Calibri"/>
      <family val="2"/>
    </font>
    <font>
      <b/>
      <sz val="11"/>
      <color theme="1"/>
      <name val="Calibri"/>
      <family val="2"/>
      <scheme val="minor"/>
    </font>
    <font>
      <u/>
      <sz val="11"/>
      <color theme="1"/>
      <name val="Calibri"/>
      <family val="2"/>
      <scheme val="minor"/>
    </font>
  </fonts>
  <fills count="2">
    <fill>
      <patternFill patternType="none"/>
    </fill>
    <fill>
      <patternFill patternType="gray125"/>
    </fill>
  </fills>
  <borders count="15">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50">
    <xf numFmtId="0" fontId="0" fillId="0" borderId="0" xfId="0"/>
    <xf numFmtId="0" fontId="1" fillId="0" borderId="0" xfId="0" applyFont="1" applyAlignment="1">
      <alignment vertical="center" wrapText="1"/>
    </xf>
    <xf numFmtId="0" fontId="0" fillId="0" borderId="0" xfId="0" applyFont="1" applyAlignment="1">
      <alignment vertical="center" wrapText="1"/>
    </xf>
    <xf numFmtId="0" fontId="1" fillId="0" borderId="0" xfId="0" applyFont="1" applyAlignment="1">
      <alignment horizontal="left" vertical="center"/>
    </xf>
    <xf numFmtId="0" fontId="1" fillId="0" borderId="0" xfId="0" applyFont="1" applyAlignment="1">
      <alignment vertical="center"/>
    </xf>
    <xf numFmtId="0" fontId="2" fillId="0" borderId="0" xfId="0" applyFont="1" applyAlignment="1">
      <alignment vertical="center"/>
    </xf>
    <xf numFmtId="0" fontId="0" fillId="0" borderId="0" xfId="0" applyFont="1" applyAlignment="1">
      <alignment vertical="center"/>
    </xf>
    <xf numFmtId="0" fontId="0" fillId="0" borderId="0" xfId="0" applyAlignment="1">
      <alignment vertical="center"/>
    </xf>
    <xf numFmtId="0" fontId="0" fillId="0" borderId="0" xfId="0" applyFont="1" applyAlignment="1">
      <alignment horizontal="left"/>
    </xf>
    <xf numFmtId="0" fontId="0" fillId="0" borderId="0" xfId="0" applyFont="1" applyAlignment="1">
      <alignment horizontal="left" vertical="center"/>
    </xf>
    <xf numFmtId="0" fontId="0" fillId="0" borderId="0" xfId="0" applyAlignment="1">
      <alignment horizontal="left"/>
    </xf>
    <xf numFmtId="0" fontId="0" fillId="0" borderId="0" xfId="0" applyAlignment="1">
      <alignment horizontal="right"/>
    </xf>
    <xf numFmtId="0" fontId="0" fillId="0" borderId="0" xfId="0" applyAlignment="1">
      <alignment vertical="center" wrapText="1"/>
    </xf>
    <xf numFmtId="0" fontId="0" fillId="0" borderId="0" xfId="0" applyAlignment="1">
      <alignment vertical="top" wrapText="1"/>
    </xf>
    <xf numFmtId="0" fontId="0" fillId="0" borderId="0" xfId="0" quotePrefix="1" applyAlignment="1">
      <alignment vertic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5" xfId="0" applyBorder="1"/>
    <xf numFmtId="0" fontId="0" fillId="0" borderId="1" xfId="0" applyBorder="1"/>
    <xf numFmtId="0" fontId="0" fillId="0" borderId="2" xfId="0" applyBorder="1"/>
    <xf numFmtId="0" fontId="0" fillId="0" borderId="4" xfId="0" applyBorder="1"/>
    <xf numFmtId="0" fontId="0" fillId="0" borderId="7" xfId="0" applyBorder="1"/>
    <xf numFmtId="0" fontId="0" fillId="0" borderId="0" xfId="0" applyBorder="1"/>
    <xf numFmtId="0" fontId="0" fillId="0" borderId="12" xfId="0" applyBorder="1"/>
    <xf numFmtId="0" fontId="0" fillId="0" borderId="13" xfId="0" applyBorder="1"/>
    <xf numFmtId="0" fontId="0" fillId="0" borderId="11" xfId="0" applyBorder="1"/>
    <xf numFmtId="0" fontId="3" fillId="0" borderId="2" xfId="0" applyFont="1" applyBorder="1" applyAlignment="1">
      <alignment horizontal="center"/>
    </xf>
    <xf numFmtId="0" fontId="3" fillId="0" borderId="2" xfId="0" applyFont="1" applyBorder="1" applyAlignment="1">
      <alignment horizontal="center"/>
    </xf>
    <xf numFmtId="0" fontId="0" fillId="0" borderId="14" xfId="0" applyBorder="1"/>
    <xf numFmtId="0" fontId="3" fillId="0" borderId="6" xfId="0" applyFont="1" applyBorder="1" applyAlignment="1">
      <alignment horizontal="center"/>
    </xf>
    <xf numFmtId="0" fontId="0" fillId="0" borderId="0" xfId="0" applyAlignment="1">
      <alignment horizontal="right" vertical="center"/>
    </xf>
    <xf numFmtId="0" fontId="3" fillId="0" borderId="9"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0" fontId="3" fillId="0" borderId="4" xfId="0" applyFont="1" applyBorder="1" applyAlignment="1">
      <alignment horizontal="center"/>
    </xf>
    <xf numFmtId="0" fontId="3" fillId="0" borderId="7" xfId="0" applyFont="1" applyBorder="1" applyAlignment="1">
      <alignment horizontal="center"/>
    </xf>
    <xf numFmtId="0" fontId="3" fillId="0" borderId="12" xfId="0" applyFont="1" applyBorder="1" applyAlignment="1">
      <alignment horizontal="center"/>
    </xf>
    <xf numFmtId="0" fontId="4" fillId="0" borderId="1" xfId="0" applyFont="1" applyBorder="1" applyAlignment="1">
      <alignment horizontal="center"/>
    </xf>
    <xf numFmtId="0" fontId="4" fillId="0" borderId="2"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Contest!$A$2</c:f>
              <c:strCache>
                <c:ptCount val="1"/>
                <c:pt idx="0">
                  <c:v>Cool</c:v>
                </c:pt>
              </c:strCache>
            </c:strRef>
          </c:tx>
          <c:spPr>
            <a:ln w="28575" cap="rnd">
              <a:solidFill>
                <a:schemeClr val="accent1"/>
              </a:solidFill>
              <a:round/>
            </a:ln>
            <a:effectLst/>
          </c:spPr>
          <c:marker>
            <c:symbol val="none"/>
          </c:marker>
          <c:cat>
            <c:numRef>
              <c:f>Contest!$F$1:$O$1</c:f>
              <c:numCache>
                <c:formatCode>General</c:formatCode>
                <c:ptCount val="10"/>
                <c:pt idx="0">
                  <c:v>10</c:v>
                </c:pt>
                <c:pt idx="1">
                  <c:v>20</c:v>
                </c:pt>
                <c:pt idx="2">
                  <c:v>30</c:v>
                </c:pt>
                <c:pt idx="3">
                  <c:v>40</c:v>
                </c:pt>
                <c:pt idx="4">
                  <c:v>50</c:v>
                </c:pt>
                <c:pt idx="5">
                  <c:v>60</c:v>
                </c:pt>
                <c:pt idx="6">
                  <c:v>70</c:v>
                </c:pt>
                <c:pt idx="7">
                  <c:v>80</c:v>
                </c:pt>
                <c:pt idx="8">
                  <c:v>90</c:v>
                </c:pt>
                <c:pt idx="9">
                  <c:v>100</c:v>
                </c:pt>
              </c:numCache>
            </c:numRef>
          </c:cat>
          <c:val>
            <c:numRef>
              <c:f>Contest!$F$2:$O$2</c:f>
              <c:numCache>
                <c:formatCode>General</c:formatCode>
                <c:ptCount val="10"/>
                <c:pt idx="0">
                  <c:v>117</c:v>
                </c:pt>
                <c:pt idx="1">
                  <c:v>120</c:v>
                </c:pt>
                <c:pt idx="2">
                  <c:v>118</c:v>
                </c:pt>
                <c:pt idx="3">
                  <c:v>75</c:v>
                </c:pt>
                <c:pt idx="4">
                  <c:v>50</c:v>
                </c:pt>
                <c:pt idx="5">
                  <c:v>24</c:v>
                </c:pt>
                <c:pt idx="6">
                  <c:v>19</c:v>
                </c:pt>
                <c:pt idx="7">
                  <c:v>4</c:v>
                </c:pt>
                <c:pt idx="8">
                  <c:v>4</c:v>
                </c:pt>
                <c:pt idx="9">
                  <c:v>1</c:v>
                </c:pt>
              </c:numCache>
            </c:numRef>
          </c:val>
          <c:smooth val="0"/>
          <c:extLst>
            <c:ext xmlns:c16="http://schemas.microsoft.com/office/drawing/2014/chart" uri="{C3380CC4-5D6E-409C-BE32-E72D297353CC}">
              <c16:uniqueId val="{00000000-E0BE-46B0-ADB8-273155669321}"/>
            </c:ext>
          </c:extLst>
        </c:ser>
        <c:ser>
          <c:idx val="1"/>
          <c:order val="1"/>
          <c:tx>
            <c:strRef>
              <c:f>Contest!$A$3</c:f>
              <c:strCache>
                <c:ptCount val="1"/>
                <c:pt idx="0">
                  <c:v>Beautiful</c:v>
                </c:pt>
              </c:strCache>
            </c:strRef>
          </c:tx>
          <c:spPr>
            <a:ln w="28575" cap="rnd">
              <a:solidFill>
                <a:schemeClr val="accent2"/>
              </a:solidFill>
              <a:round/>
            </a:ln>
            <a:effectLst/>
          </c:spPr>
          <c:marker>
            <c:symbol val="none"/>
          </c:marker>
          <c:cat>
            <c:numRef>
              <c:f>Contest!$F$1:$O$1</c:f>
              <c:numCache>
                <c:formatCode>General</c:formatCode>
                <c:ptCount val="10"/>
                <c:pt idx="0">
                  <c:v>10</c:v>
                </c:pt>
                <c:pt idx="1">
                  <c:v>20</c:v>
                </c:pt>
                <c:pt idx="2">
                  <c:v>30</c:v>
                </c:pt>
                <c:pt idx="3">
                  <c:v>40</c:v>
                </c:pt>
                <c:pt idx="4">
                  <c:v>50</c:v>
                </c:pt>
                <c:pt idx="5">
                  <c:v>60</c:v>
                </c:pt>
                <c:pt idx="6">
                  <c:v>70</c:v>
                </c:pt>
                <c:pt idx="7">
                  <c:v>80</c:v>
                </c:pt>
                <c:pt idx="8">
                  <c:v>90</c:v>
                </c:pt>
                <c:pt idx="9">
                  <c:v>100</c:v>
                </c:pt>
              </c:numCache>
            </c:numRef>
          </c:cat>
          <c:val>
            <c:numRef>
              <c:f>Contest!$F$3:$O$3</c:f>
              <c:numCache>
                <c:formatCode>General</c:formatCode>
                <c:ptCount val="10"/>
                <c:pt idx="0">
                  <c:v>110</c:v>
                </c:pt>
                <c:pt idx="1">
                  <c:v>108</c:v>
                </c:pt>
                <c:pt idx="2">
                  <c:v>72</c:v>
                </c:pt>
                <c:pt idx="3">
                  <c:v>42</c:v>
                </c:pt>
                <c:pt idx="4">
                  <c:v>30</c:v>
                </c:pt>
                <c:pt idx="5">
                  <c:v>15</c:v>
                </c:pt>
                <c:pt idx="6">
                  <c:v>13</c:v>
                </c:pt>
                <c:pt idx="7">
                  <c:v>7</c:v>
                </c:pt>
                <c:pt idx="8">
                  <c:v>4</c:v>
                </c:pt>
                <c:pt idx="9">
                  <c:v>1</c:v>
                </c:pt>
              </c:numCache>
            </c:numRef>
          </c:val>
          <c:smooth val="0"/>
          <c:extLst>
            <c:ext xmlns:c16="http://schemas.microsoft.com/office/drawing/2014/chart" uri="{C3380CC4-5D6E-409C-BE32-E72D297353CC}">
              <c16:uniqueId val="{00000001-E0BE-46B0-ADB8-273155669321}"/>
            </c:ext>
          </c:extLst>
        </c:ser>
        <c:ser>
          <c:idx val="2"/>
          <c:order val="2"/>
          <c:tx>
            <c:strRef>
              <c:f>Contest!$A$4</c:f>
              <c:strCache>
                <c:ptCount val="1"/>
                <c:pt idx="0">
                  <c:v>Cute</c:v>
                </c:pt>
              </c:strCache>
            </c:strRef>
          </c:tx>
          <c:spPr>
            <a:ln w="28575" cap="rnd">
              <a:solidFill>
                <a:schemeClr val="accent3"/>
              </a:solidFill>
              <a:round/>
            </a:ln>
            <a:effectLst/>
          </c:spPr>
          <c:marker>
            <c:symbol val="none"/>
          </c:marker>
          <c:cat>
            <c:numRef>
              <c:f>Contest!$F$1:$O$1</c:f>
              <c:numCache>
                <c:formatCode>General</c:formatCode>
                <c:ptCount val="10"/>
                <c:pt idx="0">
                  <c:v>10</c:v>
                </c:pt>
                <c:pt idx="1">
                  <c:v>20</c:v>
                </c:pt>
                <c:pt idx="2">
                  <c:v>30</c:v>
                </c:pt>
                <c:pt idx="3">
                  <c:v>40</c:v>
                </c:pt>
                <c:pt idx="4">
                  <c:v>50</c:v>
                </c:pt>
                <c:pt idx="5">
                  <c:v>60</c:v>
                </c:pt>
                <c:pt idx="6">
                  <c:v>70</c:v>
                </c:pt>
                <c:pt idx="7">
                  <c:v>80</c:v>
                </c:pt>
                <c:pt idx="8">
                  <c:v>90</c:v>
                </c:pt>
                <c:pt idx="9">
                  <c:v>100</c:v>
                </c:pt>
              </c:numCache>
            </c:numRef>
          </c:cat>
          <c:val>
            <c:numRef>
              <c:f>Contest!$F$4:$O$4</c:f>
              <c:numCache>
                <c:formatCode>General</c:formatCode>
                <c:ptCount val="10"/>
                <c:pt idx="0">
                  <c:v>144</c:v>
                </c:pt>
                <c:pt idx="1">
                  <c:v>129</c:v>
                </c:pt>
                <c:pt idx="2">
                  <c:v>112</c:v>
                </c:pt>
                <c:pt idx="3">
                  <c:v>69</c:v>
                </c:pt>
                <c:pt idx="4">
                  <c:v>41</c:v>
                </c:pt>
                <c:pt idx="5">
                  <c:v>13</c:v>
                </c:pt>
                <c:pt idx="6">
                  <c:v>11</c:v>
                </c:pt>
                <c:pt idx="7">
                  <c:v>2</c:v>
                </c:pt>
                <c:pt idx="8">
                  <c:v>2</c:v>
                </c:pt>
                <c:pt idx="9">
                  <c:v>1</c:v>
                </c:pt>
              </c:numCache>
            </c:numRef>
          </c:val>
          <c:smooth val="0"/>
          <c:extLst>
            <c:ext xmlns:c16="http://schemas.microsoft.com/office/drawing/2014/chart" uri="{C3380CC4-5D6E-409C-BE32-E72D297353CC}">
              <c16:uniqueId val="{00000002-E0BE-46B0-ADB8-273155669321}"/>
            </c:ext>
          </c:extLst>
        </c:ser>
        <c:ser>
          <c:idx val="3"/>
          <c:order val="3"/>
          <c:tx>
            <c:strRef>
              <c:f>Contest!$A$5</c:f>
              <c:strCache>
                <c:ptCount val="1"/>
                <c:pt idx="0">
                  <c:v>Clever</c:v>
                </c:pt>
              </c:strCache>
            </c:strRef>
          </c:tx>
          <c:spPr>
            <a:ln w="28575" cap="rnd">
              <a:solidFill>
                <a:schemeClr val="accent4"/>
              </a:solidFill>
              <a:round/>
            </a:ln>
            <a:effectLst/>
          </c:spPr>
          <c:marker>
            <c:symbol val="none"/>
          </c:marker>
          <c:cat>
            <c:numRef>
              <c:f>Contest!$F$1:$O$1</c:f>
              <c:numCache>
                <c:formatCode>General</c:formatCode>
                <c:ptCount val="10"/>
                <c:pt idx="0">
                  <c:v>10</c:v>
                </c:pt>
                <c:pt idx="1">
                  <c:v>20</c:v>
                </c:pt>
                <c:pt idx="2">
                  <c:v>30</c:v>
                </c:pt>
                <c:pt idx="3">
                  <c:v>40</c:v>
                </c:pt>
                <c:pt idx="4">
                  <c:v>50</c:v>
                </c:pt>
                <c:pt idx="5">
                  <c:v>60</c:v>
                </c:pt>
                <c:pt idx="6">
                  <c:v>70</c:v>
                </c:pt>
                <c:pt idx="7">
                  <c:v>80</c:v>
                </c:pt>
                <c:pt idx="8">
                  <c:v>90</c:v>
                </c:pt>
                <c:pt idx="9">
                  <c:v>100</c:v>
                </c:pt>
              </c:numCache>
            </c:numRef>
          </c:cat>
          <c:val>
            <c:numRef>
              <c:f>Contest!$F$5:$O$5</c:f>
              <c:numCache>
                <c:formatCode>General</c:formatCode>
                <c:ptCount val="10"/>
                <c:pt idx="0">
                  <c:v>145</c:v>
                </c:pt>
                <c:pt idx="1">
                  <c:v>175</c:v>
                </c:pt>
                <c:pt idx="2">
                  <c:v>127</c:v>
                </c:pt>
                <c:pt idx="3">
                  <c:v>63</c:v>
                </c:pt>
                <c:pt idx="4">
                  <c:v>42</c:v>
                </c:pt>
                <c:pt idx="5">
                  <c:v>18</c:v>
                </c:pt>
                <c:pt idx="6">
                  <c:v>12</c:v>
                </c:pt>
                <c:pt idx="7">
                  <c:v>6</c:v>
                </c:pt>
                <c:pt idx="8">
                  <c:v>3</c:v>
                </c:pt>
                <c:pt idx="9">
                  <c:v>1</c:v>
                </c:pt>
              </c:numCache>
            </c:numRef>
          </c:val>
          <c:smooth val="0"/>
          <c:extLst>
            <c:ext xmlns:c16="http://schemas.microsoft.com/office/drawing/2014/chart" uri="{C3380CC4-5D6E-409C-BE32-E72D297353CC}">
              <c16:uniqueId val="{00000003-E0BE-46B0-ADB8-273155669321}"/>
            </c:ext>
          </c:extLst>
        </c:ser>
        <c:ser>
          <c:idx val="4"/>
          <c:order val="4"/>
          <c:tx>
            <c:strRef>
              <c:f>Contest!$A$6</c:f>
              <c:strCache>
                <c:ptCount val="1"/>
                <c:pt idx="0">
                  <c:v>Tough</c:v>
                </c:pt>
              </c:strCache>
            </c:strRef>
          </c:tx>
          <c:spPr>
            <a:ln w="28575" cap="rnd">
              <a:solidFill>
                <a:schemeClr val="accent5"/>
              </a:solidFill>
              <a:round/>
            </a:ln>
            <a:effectLst/>
          </c:spPr>
          <c:marker>
            <c:symbol val="none"/>
          </c:marker>
          <c:cat>
            <c:numRef>
              <c:f>Contest!$F$1:$O$1</c:f>
              <c:numCache>
                <c:formatCode>General</c:formatCode>
                <c:ptCount val="10"/>
                <c:pt idx="0">
                  <c:v>10</c:v>
                </c:pt>
                <c:pt idx="1">
                  <c:v>20</c:v>
                </c:pt>
                <c:pt idx="2">
                  <c:v>30</c:v>
                </c:pt>
                <c:pt idx="3">
                  <c:v>40</c:v>
                </c:pt>
                <c:pt idx="4">
                  <c:v>50</c:v>
                </c:pt>
                <c:pt idx="5">
                  <c:v>60</c:v>
                </c:pt>
                <c:pt idx="6">
                  <c:v>70</c:v>
                </c:pt>
                <c:pt idx="7">
                  <c:v>80</c:v>
                </c:pt>
                <c:pt idx="8">
                  <c:v>90</c:v>
                </c:pt>
                <c:pt idx="9">
                  <c:v>100</c:v>
                </c:pt>
              </c:numCache>
            </c:numRef>
          </c:cat>
          <c:val>
            <c:numRef>
              <c:f>Contest!$F$6:$O$6</c:f>
              <c:numCache>
                <c:formatCode>General</c:formatCode>
                <c:ptCount val="10"/>
                <c:pt idx="0">
                  <c:v>139</c:v>
                </c:pt>
                <c:pt idx="1">
                  <c:v>117</c:v>
                </c:pt>
                <c:pt idx="2">
                  <c:v>122</c:v>
                </c:pt>
                <c:pt idx="3">
                  <c:v>81</c:v>
                </c:pt>
                <c:pt idx="4">
                  <c:v>50</c:v>
                </c:pt>
                <c:pt idx="5">
                  <c:v>29</c:v>
                </c:pt>
                <c:pt idx="6">
                  <c:v>17</c:v>
                </c:pt>
                <c:pt idx="7">
                  <c:v>7</c:v>
                </c:pt>
                <c:pt idx="8">
                  <c:v>5</c:v>
                </c:pt>
                <c:pt idx="9">
                  <c:v>1</c:v>
                </c:pt>
              </c:numCache>
            </c:numRef>
          </c:val>
          <c:smooth val="0"/>
          <c:extLst>
            <c:ext xmlns:c16="http://schemas.microsoft.com/office/drawing/2014/chart" uri="{C3380CC4-5D6E-409C-BE32-E72D297353CC}">
              <c16:uniqueId val="{00000004-E0BE-46B0-ADB8-273155669321}"/>
            </c:ext>
          </c:extLst>
        </c:ser>
        <c:dLbls>
          <c:showLegendKey val="0"/>
          <c:showVal val="0"/>
          <c:showCatName val="0"/>
          <c:showSerName val="0"/>
          <c:showPercent val="0"/>
          <c:showBubbleSize val="0"/>
        </c:dLbls>
        <c:smooth val="0"/>
        <c:axId val="466799728"/>
        <c:axId val="466801040"/>
      </c:lineChart>
      <c:catAx>
        <c:axId val="46679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01040"/>
        <c:crosses val="autoZero"/>
        <c:auto val="1"/>
        <c:lblAlgn val="ctr"/>
        <c:lblOffset val="100"/>
        <c:noMultiLvlLbl val="0"/>
      </c:catAx>
      <c:valAx>
        <c:axId val="466801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9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4761</xdr:rowOff>
    </xdr:from>
    <xdr:to>
      <xdr:col>16</xdr:col>
      <xdr:colOff>0</xdr:colOff>
      <xdr:row>22</xdr:row>
      <xdr:rowOff>180974</xdr:rowOff>
    </xdr:to>
    <xdr:graphicFrame macro="">
      <xdr:nvGraphicFramePr>
        <xdr:cNvPr id="3" name="Chart 2">
          <a:extLst>
            <a:ext uri="{FF2B5EF4-FFF2-40B4-BE49-F238E27FC236}">
              <a16:creationId xmlns:a16="http://schemas.microsoft.com/office/drawing/2014/main" id="{D4478211-1D49-42AF-B0F7-DC685CC4B3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arth%20&amp;%20Sk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tions"/>
      <sheetName val="Full Dex"/>
      <sheetName val="New Mons"/>
      <sheetName val="Mon List"/>
      <sheetName val="New Megas"/>
      <sheetName val="New Moves"/>
      <sheetName val="Move List"/>
      <sheetName val="TMs"/>
      <sheetName val="Movepool Edits"/>
      <sheetName val="New Abilities"/>
      <sheetName val="Ability Edits"/>
      <sheetName val="Ability Changes"/>
      <sheetName val="New Items"/>
      <sheetName val="Item Changes"/>
      <sheetName val="Mechanics"/>
      <sheetName val="Contests"/>
      <sheetName val="Contest Effects"/>
      <sheetName val="Berries"/>
      <sheetName val="Cosmetic Forms"/>
      <sheetName val="Version Exclusives"/>
      <sheetName val="Tests"/>
      <sheetName val="Availability"/>
      <sheetName val="Flavor Text"/>
      <sheetName val="Ribbons"/>
    </sheetNames>
    <sheetDataSet>
      <sheetData sheetId="0"/>
      <sheetData sheetId="1">
        <row r="1">
          <cell r="A1" t="str">
            <v>Caeleaf</v>
          </cell>
          <cell r="B1" t="str">
            <v>Sprop</v>
          </cell>
          <cell r="C1" t="str">
            <v>Graecust</v>
          </cell>
          <cell r="D1" t="str">
            <v>Iguava</v>
          </cell>
          <cell r="E1" t="str">
            <v>Chucklava</v>
          </cell>
          <cell r="F1" t="str">
            <v>Helmuana</v>
          </cell>
          <cell r="G1" t="str">
            <v>Newtiny</v>
          </cell>
          <cell r="H1" t="str">
            <v>Ruggeft</v>
          </cell>
          <cell r="I1" t="str">
            <v>Claymander</v>
          </cell>
          <cell r="J1" t="str">
            <v>Palrat</v>
          </cell>
        </row>
        <row r="2">
          <cell r="A2" t="str">
            <v>Spectrat</v>
          </cell>
          <cell r="B2" t="str">
            <v>Shinx</v>
          </cell>
          <cell r="C2" t="str">
            <v>Luxio</v>
          </cell>
          <cell r="D2" t="str">
            <v>Luxray</v>
          </cell>
          <cell r="E2" t="str">
            <v>Stunky</v>
          </cell>
          <cell r="F2" t="str">
            <v>Skuntank</v>
          </cell>
          <cell r="G2" t="str">
            <v>Fanfowl</v>
          </cell>
          <cell r="H2" t="str">
            <v>Plumifowl</v>
          </cell>
          <cell r="I2" t="str">
            <v>Pealated</v>
          </cell>
          <cell r="J2" t="str">
            <v>Hoothoot</v>
          </cell>
        </row>
        <row r="3">
          <cell r="A3" t="str">
            <v>Noctowl</v>
          </cell>
          <cell r="B3" t="str">
            <v>Toybot</v>
          </cell>
          <cell r="C3" t="str">
            <v>Aibot</v>
          </cell>
          <cell r="D3" t="str">
            <v>Utilitron</v>
          </cell>
          <cell r="E3" t="str">
            <v>Trubbish</v>
          </cell>
          <cell r="F3" t="str">
            <v>Garbodor</v>
          </cell>
          <cell r="G3" t="str">
            <v>Faerunee</v>
          </cell>
          <cell r="H3" t="str">
            <v>Caterpie</v>
          </cell>
          <cell r="I3" t="str">
            <v>Metapod</v>
          </cell>
          <cell r="J3" t="str">
            <v>Butterfree</v>
          </cell>
          <cell r="K3" t="str">
            <v>Utilitron-Boat</v>
          </cell>
        </row>
        <row r="4">
          <cell r="A4" t="str">
            <v>Budew</v>
          </cell>
          <cell r="B4" t="str">
            <v>Roselia</v>
          </cell>
          <cell r="C4" t="str">
            <v>Roserade</v>
          </cell>
          <cell r="D4" t="str">
            <v>Sothodil</v>
          </cell>
          <cell r="E4" t="str">
            <v>Sosphodel</v>
          </cell>
          <cell r="F4" t="str">
            <v>Gulpin</v>
          </cell>
          <cell r="G4" t="str">
            <v>Swalot</v>
          </cell>
          <cell r="H4" t="str">
            <v>Montura</v>
          </cell>
          <cell r="I4" t="str">
            <v>Twintura</v>
          </cell>
          <cell r="J4" t="str">
            <v>Silvurah</v>
          </cell>
          <cell r="K4" t="str">
            <v>Utilitron-Copter</v>
          </cell>
        </row>
        <row r="5">
          <cell r="A5" t="str">
            <v>Burrorm</v>
          </cell>
          <cell r="B5" t="str">
            <v>Burryrm</v>
          </cell>
          <cell r="C5" t="str">
            <v>Scarabouch</v>
          </cell>
          <cell r="D5" t="str">
            <v>Deerling</v>
          </cell>
          <cell r="E5" t="str">
            <v>Sawsbuck</v>
          </cell>
          <cell r="F5" t="str">
            <v>Azurill</v>
          </cell>
          <cell r="G5" t="str">
            <v>Marill</v>
          </cell>
          <cell r="H5" t="str">
            <v>Azumarill</v>
          </cell>
          <cell r="I5" t="str">
            <v>Ballooffalo</v>
          </cell>
          <cell r="J5" t="str">
            <v>Slowpoke</v>
          </cell>
        </row>
        <row r="6">
          <cell r="A6" t="str">
            <v>Slowbro</v>
          </cell>
          <cell r="B6" t="str">
            <v>Slowking</v>
          </cell>
          <cell r="C6" t="str">
            <v>Magikarp</v>
          </cell>
          <cell r="D6" t="str">
            <v>Gyarados</v>
          </cell>
          <cell r="E6" t="str">
            <v>Tigrissle</v>
          </cell>
          <cell r="F6" t="str">
            <v>Beedive</v>
          </cell>
          <cell r="G6" t="str">
            <v>Basculin</v>
          </cell>
          <cell r="H6" t="str">
            <v>Pikeral-Red</v>
          </cell>
          <cell r="I6" t="str">
            <v>Feebas</v>
          </cell>
          <cell r="J6" t="str">
            <v>Milotic</v>
          </cell>
          <cell r="K6" t="str">
            <v>Pikeral-Blue</v>
          </cell>
        </row>
        <row r="7">
          <cell r="A7" t="str">
            <v>Slakoth</v>
          </cell>
          <cell r="B7" t="str">
            <v>Vigoroth</v>
          </cell>
          <cell r="C7" t="str">
            <v>Slaking</v>
          </cell>
          <cell r="D7" t="str">
            <v>Bounsweet</v>
          </cell>
          <cell r="E7" t="str">
            <v>Steenee</v>
          </cell>
          <cell r="F7" t="str">
            <v>Tsareena</v>
          </cell>
          <cell r="G7" t="str">
            <v>Lithoshroom</v>
          </cell>
          <cell r="H7" t="str">
            <v>Litholich</v>
          </cell>
          <cell r="I7" t="str">
            <v>Geodude</v>
          </cell>
          <cell r="J7" t="str">
            <v>Graveler</v>
          </cell>
        </row>
        <row r="8">
          <cell r="A8" t="str">
            <v>Golem</v>
          </cell>
          <cell r="B8" t="str">
            <v>Mawile</v>
          </cell>
          <cell r="C8" t="str">
            <v>Sableye</v>
          </cell>
          <cell r="D8" t="str">
            <v>Rugblin</v>
          </cell>
          <cell r="E8" t="str">
            <v>Runogre</v>
          </cell>
          <cell r="F8" t="str">
            <v>Growlithe</v>
          </cell>
          <cell r="G8" t="str">
            <v>Arcanine</v>
          </cell>
          <cell r="H8" t="str">
            <v>Houndour</v>
          </cell>
          <cell r="I8" t="str">
            <v>Houndoom</v>
          </cell>
          <cell r="J8" t="str">
            <v>Absol</v>
          </cell>
        </row>
        <row r="9">
          <cell r="A9" t="str">
            <v>Joroo</v>
          </cell>
          <cell r="B9" t="str">
            <v>Jaquol</v>
          </cell>
          <cell r="C9" t="str">
            <v>Thylone</v>
          </cell>
          <cell r="D9" t="str">
            <v>Blitzle</v>
          </cell>
          <cell r="E9" t="str">
            <v>Zebstrika</v>
          </cell>
          <cell r="F9" t="str">
            <v>Falinks</v>
          </cell>
          <cell r="G9" t="str">
            <v>Fletchling</v>
          </cell>
          <cell r="H9" t="str">
            <v>Fletchinder</v>
          </cell>
          <cell r="I9" t="str">
            <v>Talonflame</v>
          </cell>
          <cell r="J9" t="str">
            <v>Cufant</v>
          </cell>
        </row>
        <row r="10">
          <cell r="A10" t="str">
            <v>Copperajah</v>
          </cell>
          <cell r="B10" t="str">
            <v>Phanpy</v>
          </cell>
          <cell r="C10" t="str">
            <v>Donphan</v>
          </cell>
          <cell r="D10" t="str">
            <v>Teddiursa</v>
          </cell>
          <cell r="E10" t="str">
            <v>Ursaring</v>
          </cell>
          <cell r="F10" t="str">
            <v>Trigenee</v>
          </cell>
          <cell r="G10" t="str">
            <v>Hexyon</v>
          </cell>
          <cell r="H10" t="str">
            <v>Hektillion</v>
          </cell>
          <cell r="I10" t="str">
            <v>Termill</v>
          </cell>
          <cell r="J10" t="str">
            <v>Terrazor</v>
          </cell>
        </row>
        <row r="11">
          <cell r="A11" t="str">
            <v>Heracross</v>
          </cell>
          <cell r="B11" t="str">
            <v>Pinsir</v>
          </cell>
          <cell r="C11" t="str">
            <v>Rockruff</v>
          </cell>
          <cell r="D11" t="str">
            <v>Lycanroc</v>
          </cell>
          <cell r="E11" t="str">
            <v>Elpine</v>
          </cell>
          <cell r="F11" t="str">
            <v>Freezelk</v>
          </cell>
          <cell r="G11" t="str">
            <v>Moorfrost</v>
          </cell>
          <cell r="H11" t="str">
            <v>Snover</v>
          </cell>
          <cell r="I11" t="str">
            <v>Abomasnow</v>
          </cell>
          <cell r="J11" t="str">
            <v>Swinub</v>
          </cell>
        </row>
        <row r="12">
          <cell r="A12" t="str">
            <v>Piloswine</v>
          </cell>
          <cell r="B12" t="str">
            <v>Mamoswine</v>
          </cell>
          <cell r="C12" t="str">
            <v>Vanillite</v>
          </cell>
          <cell r="D12" t="str">
            <v>Vanillish</v>
          </cell>
          <cell r="E12" t="str">
            <v>Vanilluxe</v>
          </cell>
          <cell r="F12" t="str">
            <v>Smoochum</v>
          </cell>
          <cell r="G12" t="str">
            <v>Jynx</v>
          </cell>
          <cell r="H12" t="str">
            <v>Zubat</v>
          </cell>
          <cell r="I12" t="str">
            <v>Golbat</v>
          </cell>
          <cell r="J12" t="str">
            <v>Crobat</v>
          </cell>
        </row>
        <row r="13">
          <cell r="A13" t="str">
            <v>Noibat</v>
          </cell>
          <cell r="B13" t="str">
            <v>Noivern</v>
          </cell>
          <cell r="C13" t="str">
            <v>Dunsparce</v>
          </cell>
          <cell r="D13" t="str">
            <v>Drampa</v>
          </cell>
          <cell r="E13" t="str">
            <v>Minior</v>
          </cell>
          <cell r="F13" t="str">
            <v>Prominoid</v>
          </cell>
          <cell r="G13" t="str">
            <v>Cryogonal</v>
          </cell>
          <cell r="H13" t="str">
            <v>Riolu</v>
          </cell>
          <cell r="I13" t="str">
            <v>Lucario</v>
          </cell>
          <cell r="J13" t="str">
            <v>Zorua</v>
          </cell>
        </row>
        <row r="14">
          <cell r="A14" t="str">
            <v>Zoroark</v>
          </cell>
          <cell r="B14" t="str">
            <v>Igglybuff</v>
          </cell>
          <cell r="C14" t="str">
            <v>Jigglypuff</v>
          </cell>
          <cell r="D14" t="str">
            <v>Wigglytuff</v>
          </cell>
          <cell r="E14" t="str">
            <v>Spritzee</v>
          </cell>
          <cell r="F14" t="str">
            <v>Aromatisse</v>
          </cell>
          <cell r="G14" t="str">
            <v>Delibird</v>
          </cell>
          <cell r="H14" t="str">
            <v>Elekid</v>
          </cell>
          <cell r="I14" t="str">
            <v>Electabuzz</v>
          </cell>
          <cell r="J14" t="str">
            <v>Electivire</v>
          </cell>
        </row>
        <row r="15">
          <cell r="A15" t="str">
            <v>Tynamo</v>
          </cell>
          <cell r="B15" t="str">
            <v>Eelektrik</v>
          </cell>
          <cell r="C15" t="str">
            <v>Eelektross</v>
          </cell>
          <cell r="D15" t="str">
            <v>Joltik</v>
          </cell>
          <cell r="E15" t="str">
            <v>Galvantula</v>
          </cell>
          <cell r="F15" t="str">
            <v>Inkay</v>
          </cell>
          <cell r="G15" t="str">
            <v>Malamar</v>
          </cell>
          <cell r="H15" t="str">
            <v>Croagunk</v>
          </cell>
          <cell r="I15" t="str">
            <v>Toxicroak</v>
          </cell>
          <cell r="J15" t="str">
            <v>Farfetch'd</v>
          </cell>
        </row>
        <row r="16">
          <cell r="A16" t="str">
            <v>Kendo'no</v>
          </cell>
          <cell r="B16" t="str">
            <v>Deino</v>
          </cell>
          <cell r="C16" t="str">
            <v>Zweilous</v>
          </cell>
          <cell r="D16" t="str">
            <v>Hydreigon</v>
          </cell>
          <cell r="E16" t="str">
            <v>Lemurod</v>
          </cell>
          <cell r="F16" t="str">
            <v>Heatmor</v>
          </cell>
          <cell r="G16" t="str">
            <v>Durant</v>
          </cell>
          <cell r="H16" t="str">
            <v>Axew</v>
          </cell>
          <cell r="I16" t="str">
            <v>Fraxure</v>
          </cell>
          <cell r="J16" t="str">
            <v>Haxorus</v>
          </cell>
        </row>
        <row r="17">
          <cell r="A17" t="str">
            <v>Sandygast</v>
          </cell>
          <cell r="B17" t="str">
            <v>Palossand</v>
          </cell>
          <cell r="C17" t="str">
            <v>Crabrawler</v>
          </cell>
          <cell r="D17" t="str">
            <v>Crabominable</v>
          </cell>
          <cell r="E17" t="str">
            <v>Exeggcute</v>
          </cell>
          <cell r="F17" t="str">
            <v>Exeggutor</v>
          </cell>
          <cell r="G17" t="str">
            <v>Tropius</v>
          </cell>
          <cell r="H17" t="str">
            <v>Wingull</v>
          </cell>
          <cell r="I17" t="str">
            <v>Pelipper</v>
          </cell>
          <cell r="J17" t="str">
            <v>Antarctross</v>
          </cell>
        </row>
        <row r="18">
          <cell r="A18" t="str">
            <v>Shellder</v>
          </cell>
          <cell r="B18" t="str">
            <v>Cloyster</v>
          </cell>
          <cell r="C18" t="str">
            <v>Finneon</v>
          </cell>
          <cell r="D18" t="str">
            <v>Lumineon</v>
          </cell>
          <cell r="E18" t="str">
            <v>Gobellos</v>
          </cell>
          <cell r="F18" t="str">
            <v>Dragobellos</v>
          </cell>
          <cell r="G18" t="str">
            <v>Plecuum</v>
          </cell>
          <cell r="H18" t="str">
            <v>Vorplec</v>
          </cell>
          <cell r="I18" t="str">
            <v>Pyukumuku</v>
          </cell>
          <cell r="J18" t="str">
            <v>Pincurchion</v>
          </cell>
        </row>
        <row r="19">
          <cell r="A19" t="str">
            <v>Lioxin</v>
          </cell>
          <cell r="B19" t="str">
            <v>Frillish</v>
          </cell>
          <cell r="C19" t="str">
            <v>Jellicent</v>
          </cell>
          <cell r="D19" t="str">
            <v>Scrunge</v>
          </cell>
          <cell r="E19" t="str">
            <v>Dhelmise</v>
          </cell>
          <cell r="F19" t="str">
            <v>Cuttlelass</v>
          </cell>
          <cell r="G19" t="str">
            <v>Dreadnautilus</v>
          </cell>
          <cell r="H19" t="str">
            <v>Kravokalypse</v>
          </cell>
          <cell r="I19" t="str">
            <v>Cubone</v>
          </cell>
          <cell r="J19" t="str">
            <v>Marowak</v>
          </cell>
        </row>
        <row r="20">
          <cell r="A20" t="str">
            <v>Duskull</v>
          </cell>
          <cell r="B20" t="str">
            <v>Dusclops</v>
          </cell>
          <cell r="C20" t="str">
            <v>Dusknoir</v>
          </cell>
          <cell r="D20" t="str">
            <v>Ralts</v>
          </cell>
          <cell r="E20" t="str">
            <v>Kirlia</v>
          </cell>
          <cell r="F20" t="str">
            <v>Gardevoir</v>
          </cell>
          <cell r="G20" t="str">
            <v>Gallade</v>
          </cell>
          <cell r="H20" t="str">
            <v>Elgyem</v>
          </cell>
          <cell r="I20" t="str">
            <v>Beheeyem</v>
          </cell>
          <cell r="J20" t="str">
            <v>Unown</v>
          </cell>
        </row>
        <row r="21">
          <cell r="A21" t="str">
            <v>Sigilyph</v>
          </cell>
          <cell r="B21" t="str">
            <v>Roggenrola</v>
          </cell>
          <cell r="C21" t="str">
            <v>Boldore</v>
          </cell>
          <cell r="D21" t="str">
            <v>Gigalith</v>
          </cell>
          <cell r="E21" t="str">
            <v>Carbink</v>
          </cell>
          <cell r="F21" t="str">
            <v>Stegrowth</v>
          </cell>
          <cell r="G21" t="str">
            <v>Stegrove</v>
          </cell>
          <cell r="H21" t="str">
            <v>Angkol</v>
          </cell>
          <cell r="I21" t="str">
            <v>Macedon</v>
          </cell>
          <cell r="J21" t="str">
            <v>Mienfoo</v>
          </cell>
        </row>
        <row r="22">
          <cell r="A22" t="str">
            <v>Mienshao</v>
          </cell>
          <cell r="B22" t="str">
            <v>Ascelyte</v>
          </cell>
          <cell r="C22" t="str">
            <v>Paraiagon</v>
          </cell>
          <cell r="D22" t="str">
            <v>Obelith</v>
          </cell>
          <cell r="E22" t="str">
            <v>Pyramyth</v>
          </cell>
          <cell r="F22" t="str">
            <v>Silicobra</v>
          </cell>
          <cell r="G22" t="str">
            <v>Sandaconda</v>
          </cell>
          <cell r="H22" t="str">
            <v>Helioptile</v>
          </cell>
          <cell r="I22" t="str">
            <v>Heliolisk</v>
          </cell>
          <cell r="J22" t="str">
            <v>Tauros</v>
          </cell>
        </row>
        <row r="23">
          <cell r="A23" t="str">
            <v>Miltank</v>
          </cell>
          <cell r="B23" t="str">
            <v>Ponyta</v>
          </cell>
          <cell r="C23" t="str">
            <v>Rapidash</v>
          </cell>
          <cell r="D23" t="str">
            <v>Magby</v>
          </cell>
          <cell r="E23" t="str">
            <v>Magmar</v>
          </cell>
          <cell r="F23" t="str">
            <v>Magmortar</v>
          </cell>
          <cell r="G23" t="str">
            <v>Torkoal</v>
          </cell>
          <cell r="H23" t="str">
            <v>Turtonator</v>
          </cell>
          <cell r="I23" t="str">
            <v>Moroth</v>
          </cell>
          <cell r="J23" t="str">
            <v>Keelmora</v>
          </cell>
        </row>
      </sheetData>
      <sheetData sheetId="2">
        <row r="1">
          <cell r="N1" t="str">
            <v>Cool</v>
          </cell>
          <cell r="O1" t="str">
            <v>Beauty</v>
          </cell>
          <cell r="P1" t="str">
            <v>Cute</v>
          </cell>
          <cell r="Q1" t="str">
            <v>Clever</v>
          </cell>
          <cell r="R1" t="str">
            <v>Tough</v>
          </cell>
        </row>
        <row r="2">
          <cell r="G2">
            <v>30</v>
          </cell>
          <cell r="H2">
            <v>60</v>
          </cell>
          <cell r="I2">
            <v>45</v>
          </cell>
          <cell r="J2">
            <v>60</v>
          </cell>
          <cell r="K2">
            <v>40</v>
          </cell>
          <cell r="L2">
            <v>70</v>
          </cell>
          <cell r="M2">
            <v>305</v>
          </cell>
          <cell r="N2">
            <v>0</v>
          </cell>
          <cell r="O2">
            <v>20</v>
          </cell>
          <cell r="P2">
            <v>10</v>
          </cell>
          <cell r="Q2">
            <v>10</v>
          </cell>
          <cell r="R2">
            <v>0</v>
          </cell>
          <cell r="S2">
            <v>40</v>
          </cell>
          <cell r="Y2" t="str">
            <v>Hidden Power, Secret Power, Nature Power, Giga Drain, Bug Bite, Screech, Toxic, Attract, Rest, Snore, Protect, Sunny Day, Rain Dance, Grassy Terrain, Façade, Natural Gift, Round, Echoed Voice, Bounce, Electroweb</v>
          </cell>
          <cell r="Z2" t="str">
            <v>Work Up, Grass Knot, Energy Ball, Hyper Voice, Signal Beam, Acrobatics, Seed Bomb, Substitute, Synthesis, Sleep Talk, Heal Bell, Return, Frustration, Last Resort, Uproar, Solar Beam, Worry Seed, Endure, Endeavor</v>
          </cell>
          <cell r="AA2" t="str">
            <v>Grass Pledge</v>
          </cell>
          <cell r="AB2" t="str">
            <v>Curse</v>
          </cell>
          <cell r="AC2" t="str">
            <v>0'08"
0.2 m</v>
          </cell>
          <cell r="AD2" t="str">
            <v>0.9 lbs
0.4 kg</v>
          </cell>
          <cell r="AE2" t="str">
            <v>Bug &amp; Grass
7♂ : 1♀</v>
          </cell>
        </row>
        <row r="3">
          <cell r="G3">
            <v>40</v>
          </cell>
          <cell r="H3">
            <v>80</v>
          </cell>
          <cell r="I3">
            <v>65</v>
          </cell>
          <cell r="J3">
            <v>75</v>
          </cell>
          <cell r="K3">
            <v>60</v>
          </cell>
          <cell r="L3">
            <v>90</v>
          </cell>
          <cell r="M3">
            <v>410</v>
          </cell>
          <cell r="N3">
            <v>10</v>
          </cell>
          <cell r="O3">
            <v>30</v>
          </cell>
          <cell r="P3">
            <v>20</v>
          </cell>
          <cell r="Q3">
            <v>20</v>
          </cell>
          <cell r="R3">
            <v>0</v>
          </cell>
          <cell r="S3">
            <v>80</v>
          </cell>
          <cell r="Y3" t="str">
            <v>Hidden Power, Secret Power, Nature Power, Giga Drain, Bug Bite, Screech, String Shot, Toxic, Attract, Rest, Snore, Protect, Sunny Day, Rain Dance, Grassy Terrain, Façade, Natural Gift, Round, Echoed Voice, Infestation, Bounce, Electroweb</v>
          </cell>
          <cell r="Z3" t="str">
            <v>Work Up, Grass Knot, Energy Ball, Hyper Voice, Signal Beam, Acrobatics, Seed Bomb, Substitute, Synthesis, Sleep Talk, Heal Bell, Return, Frustration, Last Resort, Uproar, U-Turn, Solar Beam, Worry Seed, Endure, Endeavor</v>
          </cell>
          <cell r="AA3" t="str">
            <v>Grass Pledge</v>
          </cell>
          <cell r="AB3" t="str">
            <v>Curse</v>
          </cell>
          <cell r="AC3" t="str">
            <v>2'04"
0.7 m</v>
          </cell>
          <cell r="AD3" t="str">
            <v>11.2 lbs
5.1 kg</v>
          </cell>
          <cell r="AE3" t="str">
            <v>Bug &amp; Grass
7♂ : 1♀</v>
          </cell>
        </row>
        <row r="4">
          <cell r="G4">
            <v>50</v>
          </cell>
          <cell r="H4">
            <v>100</v>
          </cell>
          <cell r="I4">
            <v>100</v>
          </cell>
          <cell r="J4">
            <v>90</v>
          </cell>
          <cell r="K4">
            <v>90</v>
          </cell>
          <cell r="L4">
            <v>105</v>
          </cell>
          <cell r="M4">
            <v>535</v>
          </cell>
          <cell r="N4">
            <v>30</v>
          </cell>
          <cell r="O4">
            <v>10</v>
          </cell>
          <cell r="P4">
            <v>0</v>
          </cell>
          <cell r="Q4">
            <v>30</v>
          </cell>
          <cell r="R4">
            <v>30</v>
          </cell>
          <cell r="S4">
            <v>100</v>
          </cell>
          <cell r="Y4" t="str">
            <v>Hyper Beam, Giga Impact, Hidden Power, Secret Power, Nature Power, Giga Drain, Bug Bite, Screech, String Shot, Toxic, Attract, Rest, Snore, Protect, Sunny Day, Rain Dance, Grassy Terrain, Façade, Natural Gift, Round, Echoed Voice, Infestation, Bounce, Electroweb</v>
          </cell>
          <cell r="Z4" t="str">
            <v>Work Up, Grass Knot, Energy Ball, Hyper Voice, Signal Beam, Acrobatics, Seed Bomb, Substitute, Synthesis, Sleep Talk, Heal Bell, Return, Frustration, Last Resort, Uproar, U-Turn, Solar Beam, Worry Seed, Endure, Endeavor</v>
          </cell>
          <cell r="AA4" t="str">
            <v>Grass Pledge, Frenzy Plant</v>
          </cell>
          <cell r="AB4" t="str">
            <v>Curse</v>
          </cell>
          <cell r="AC4" t="str">
            <v>3'11"
1.2 m</v>
          </cell>
          <cell r="AD4" t="str">
            <v>70.1 lbs
31.8 kg</v>
          </cell>
          <cell r="AE4" t="str">
            <v>Bug &amp; Grass
7♂ : 1♀</v>
          </cell>
        </row>
        <row r="5">
          <cell r="G5">
            <v>60</v>
          </cell>
          <cell r="H5">
            <v>50</v>
          </cell>
          <cell r="I5">
            <v>40</v>
          </cell>
          <cell r="J5">
            <v>60</v>
          </cell>
          <cell r="K5">
            <v>35</v>
          </cell>
          <cell r="L5">
            <v>60</v>
          </cell>
          <cell r="M5">
            <v>305</v>
          </cell>
          <cell r="N5">
            <v>10</v>
          </cell>
          <cell r="O5">
            <v>20</v>
          </cell>
          <cell r="P5">
            <v>0</v>
          </cell>
          <cell r="Q5">
            <v>0</v>
          </cell>
          <cell r="R5">
            <v>10</v>
          </cell>
          <cell r="S5">
            <v>40</v>
          </cell>
          <cell r="Y5" t="str">
            <v>Hidden Power, Secret Power, Shadow Claw, Dragon Tail, Screech, Will-O-Wisp, Attract, Rest, Snore, Protect, Sunny Day, Flash, Recycle, Façade, Rock Climb, Round, Dig, Rock Smash, Smack Down, Hone Claws</v>
          </cell>
          <cell r="Z5" t="str">
            <v>Flamethrower, Fire Blast, Strength, Hyper Voice, Earth Power, Dragon Claw, Iron Head, Flame Charge, Zen Headbutt, Substitute, Sleep Talk, Return, Frustration, Uproar, Overheat, Heat Wave, Superpower, Outrage, Roar, Endure, Super Fang</v>
          </cell>
          <cell r="AA5" t="str">
            <v>Inferno, Iron Head, Rock Throw
Fire Pledge</v>
          </cell>
          <cell r="AB5" t="str">
            <v>Eruption</v>
          </cell>
          <cell r="AC5" t="str">
            <v>2'04"
0.7 m</v>
          </cell>
          <cell r="AD5" t="str">
            <v>10.8 lbs
4.9 kg</v>
          </cell>
          <cell r="AE5" t="str">
            <v>Monster &amp; Dragon
7♂ : 1♀</v>
          </cell>
        </row>
        <row r="6">
          <cell r="G6">
            <v>70</v>
          </cell>
          <cell r="H6">
            <v>65</v>
          </cell>
          <cell r="I6">
            <v>90</v>
          </cell>
          <cell r="J6">
            <v>80</v>
          </cell>
          <cell r="K6">
            <v>45</v>
          </cell>
          <cell r="L6">
            <v>60</v>
          </cell>
          <cell r="M6">
            <v>410</v>
          </cell>
          <cell r="N6">
            <v>30</v>
          </cell>
          <cell r="O6">
            <v>20</v>
          </cell>
          <cell r="P6">
            <v>0</v>
          </cell>
          <cell r="Q6">
            <v>0</v>
          </cell>
          <cell r="R6">
            <v>30</v>
          </cell>
          <cell r="S6">
            <v>80</v>
          </cell>
          <cell r="Y6" t="str">
            <v>Hidden Power, Secret Power, Shadow Claw, Rock Slide, Screech, Dragon Tail, Will-O-Wisp, Attract, Rest, Snore, Protect, Sunny Day, Sandstorm, Flash, Recycle, Façade, Chip Away, Rock Climb, Round, Dig, Rock Tomb, Rock Smash, Tantrum, Smack Down, Hone Claws</v>
          </cell>
          <cell r="Z6" t="str">
            <v>Iron Defense, Rock Polish, Flamethrower, Fire Blast, Strength, Hyper Voice, Earth Power, Stone Edge, Power Gem, Dragon Claw, Iron Head, Flame Charge, Zen Headbutt, Substitute, Sleep Talk, Stealth Rock, Return, Frustration, Uproar, Overheat, Heat Wave, Superpower, Outrage, Roar, Endure, Super Fang</v>
          </cell>
          <cell r="AA6" t="str">
            <v>Fire Pledge</v>
          </cell>
          <cell r="AB6" t="str">
            <v>Eruption</v>
          </cell>
          <cell r="AC6" t="str">
            <v>2'11"
0.9 m</v>
          </cell>
          <cell r="AD6" t="str">
            <v>94.1 lbs
42.7 kg</v>
          </cell>
          <cell r="AE6" t="str">
            <v>Monster &amp; Dragon
7♂ : 1♀</v>
          </cell>
        </row>
        <row r="7">
          <cell r="G7">
            <v>90</v>
          </cell>
          <cell r="H7">
            <v>90</v>
          </cell>
          <cell r="I7">
            <v>110</v>
          </cell>
          <cell r="J7">
            <v>100</v>
          </cell>
          <cell r="K7">
            <v>65</v>
          </cell>
          <cell r="L7">
            <v>75</v>
          </cell>
          <cell r="M7">
            <v>530</v>
          </cell>
          <cell r="N7">
            <v>30</v>
          </cell>
          <cell r="O7">
            <v>50</v>
          </cell>
          <cell r="P7">
            <v>0</v>
          </cell>
          <cell r="Q7">
            <v>0</v>
          </cell>
          <cell r="R7">
            <v>30</v>
          </cell>
          <cell r="S7">
            <v>110</v>
          </cell>
          <cell r="Y7" t="str">
            <v>Hyper Beam, Giga Impact, Hidden Power, Secret Power, Shadow Claw, Rock Slide, Dragon Tail, Screech, Will-O-Wisp, Attract, Rest, Snore, Protect, Sunny Day, Sandstorm, Flash, Recycle, Façade, Chip Away, Rock Climb, Round, Dig, Rock Tomb, Breaking Swipe, Rock Smash, Tantrum, Smack Down, Hone Claws</v>
          </cell>
          <cell r="Z7" t="str">
            <v>Iron Defense, Rock Polish, Flamethrower, Fire Blast, Strength, Hyper Voice, Earthquake, Earth Power, Stone Edge, Power Gem, Dragon Claw, Iron Head, Flame Charge, Zen Headbutt, Substitute, Sleep Talk, Stealth Rock, Return, Frustration, Uproar, Overheat, Heat Wave, Solar Beam, Explosion, Superpower, Outrage, Roar, Endure, Super Fang</v>
          </cell>
          <cell r="AA7" t="str">
            <v>Fire Pledge, Blast Burn</v>
          </cell>
          <cell r="AB7" t="str">
            <v>Eruption</v>
          </cell>
          <cell r="AC7" t="str">
            <v>4'07"
1.4 m</v>
          </cell>
          <cell r="AD7" t="str">
            <v>210.5 lbs
95.5 kg</v>
          </cell>
          <cell r="AE7" t="str">
            <v>Monster &amp; Dragon
7♂ : 1♀</v>
          </cell>
        </row>
        <row r="8">
          <cell r="G8">
            <v>90</v>
          </cell>
          <cell r="H8">
            <v>30</v>
          </cell>
          <cell r="I8">
            <v>50</v>
          </cell>
          <cell r="J8">
            <v>35</v>
          </cell>
          <cell r="K8">
            <v>70</v>
          </cell>
          <cell r="L8">
            <v>30</v>
          </cell>
          <cell r="M8">
            <v>305</v>
          </cell>
          <cell r="N8">
            <v>0</v>
          </cell>
          <cell r="O8">
            <v>10</v>
          </cell>
          <cell r="P8">
            <v>20</v>
          </cell>
          <cell r="Q8">
            <v>10</v>
          </cell>
          <cell r="R8">
            <v>0</v>
          </cell>
          <cell r="S8">
            <v>40</v>
          </cell>
          <cell r="Y8" t="str">
            <v>Hidden Power, Secret Power, Water Pulse, Dragon Tail, Attract, Rest, Snore, Protect, Reflect, Light Screen, Safeguard, Rain Dance, Façade, Round, Whirlpool, Dig, Dive, Icy Wind, Rock Smash, Gastro Acid</v>
          </cell>
          <cell r="Z8" t="str">
            <v>Amnesia, Ice Beam, Blizzard, Surf, Hydro Pump, Sludge Bomb, Sludge Wave, Strength, Hyper Voice, Iron Head, Iron Tail, Waterfall, Aqua Tail, Gunk Shot, Substitute, Sleep Talk, Return, Frustration, Scald, Endure, Endeavor</v>
          </cell>
          <cell r="AA8" t="str">
            <v>Aqua Ring, Clear Smog, Poison Tail, Recover
Water Pledge</v>
          </cell>
          <cell r="AB8" t="str">
            <v>Soak</v>
          </cell>
          <cell r="AC8" t="str">
            <v>1'04"
0.4 m</v>
          </cell>
          <cell r="AD8" t="str">
            <v>8.2 lbs
3.7 kg</v>
          </cell>
          <cell r="AE8" t="str">
            <v>Water 1 &amp; Amorphous
7♂ : 1♀</v>
          </cell>
        </row>
        <row r="9">
          <cell r="G9">
            <v>110</v>
          </cell>
          <cell r="H9">
            <v>50</v>
          </cell>
          <cell r="I9">
            <v>70</v>
          </cell>
          <cell r="J9">
            <v>55</v>
          </cell>
          <cell r="K9">
            <v>80</v>
          </cell>
          <cell r="L9">
            <v>45</v>
          </cell>
          <cell r="M9">
            <v>410</v>
          </cell>
          <cell r="N9">
            <v>0</v>
          </cell>
          <cell r="O9">
            <v>0</v>
          </cell>
          <cell r="P9">
            <v>10</v>
          </cell>
          <cell r="Q9">
            <v>50</v>
          </cell>
          <cell r="R9">
            <v>20</v>
          </cell>
          <cell r="S9">
            <v>80</v>
          </cell>
          <cell r="Y9" t="str">
            <v>Hidden Power, Secret Power, Water Pulse, Bulldoze, Dragon Tail, Attract, Rest, Snore, Protect, Reflect, Light Screen, Safeguard, Rain Dance, Façade, Round, Whirlpool, Dig, Dive, Icy Wind, Rock Smash, Gastro Acid</v>
          </cell>
          <cell r="Z9" t="str">
            <v>Amnesia, Ice Beam, Blizzard, Surf, Hydro Pump, Sludge Bomb, Sludge Wave, Strength, Hyper Voice, Earthquake, Earth Power, Iron Head, Iron Tail, Waterfall, Aqua Tail, Gunk Shot, Substitute, Sleep Talk, Stealth Rock, Return, Frustration, Scald, Superpower, Endure, Endeavor</v>
          </cell>
          <cell r="AA9" t="str">
            <v>Water Pledge</v>
          </cell>
          <cell r="AB9" t="str">
            <v>Smokescreen</v>
          </cell>
          <cell r="AC9" t="str">
            <v>2'00"
0.6 m</v>
          </cell>
          <cell r="AD9" t="str">
            <v>22.9 lbs
10.4 kg</v>
          </cell>
          <cell r="AE9" t="str">
            <v>Water 1 &amp; Amorphous
7♂ : 1♀</v>
          </cell>
        </row>
        <row r="10">
          <cell r="G10">
            <v>125</v>
          </cell>
          <cell r="H10">
            <v>65</v>
          </cell>
          <cell r="I10">
            <v>95</v>
          </cell>
          <cell r="J10">
            <v>70</v>
          </cell>
          <cell r="K10">
            <v>110</v>
          </cell>
          <cell r="L10">
            <v>60</v>
          </cell>
          <cell r="M10">
            <v>525</v>
          </cell>
          <cell r="N10">
            <v>10</v>
          </cell>
          <cell r="O10">
            <v>0</v>
          </cell>
          <cell r="P10">
            <v>10</v>
          </cell>
          <cell r="Q10">
            <v>30</v>
          </cell>
          <cell r="R10">
            <v>50</v>
          </cell>
          <cell r="S10">
            <v>100</v>
          </cell>
          <cell r="Y10" t="str">
            <v>Hyper Beam, Giga Impact, Hidden Power, Secret Power, Water Pulse, Bulldoze, Rock Slide, Dragon Tail, Attract, Rest, Snore, Protect, Reflect, Light Screen, Safeguard, Rain Dance, Façade, Round, Avalanche, Whirlpool, Dig, Dive, Icy Wind, Rock Smash, Breaking Swipe, Tantrum, Gastro Acid</v>
          </cell>
          <cell r="Z10" t="str">
            <v>Amnesia, Ice Beam, Blizzard, Surf, Hydro Pump, Sludge Bomb, Sludge Wave, Strength, Hyper Voice, Earthquake, Earth Power, Stone Edge, Iron Head, Iron Tail, Waterfall, Aqua Tail, Gunk Shot, Substitute, Sleep Talk, Stealth Rock, Return, Frustration, Body Press, Scald, Superpower, Endure, Endeavor</v>
          </cell>
          <cell r="AA10" t="str">
            <v>Water Pledge, Hydro Cannon</v>
          </cell>
          <cell r="AB10" t="str">
            <v>Camouflage</v>
          </cell>
          <cell r="AC10" t="str">
            <v>4'03"
1.3 m</v>
          </cell>
          <cell r="AD10" t="str">
            <v>326.3 lbs
148 kg</v>
          </cell>
          <cell r="AE10" t="str">
            <v>Water 1 &amp; Amorphous
7♂ : 1♀</v>
          </cell>
        </row>
        <row r="11">
          <cell r="G11">
            <v>15</v>
          </cell>
          <cell r="H11">
            <v>70</v>
          </cell>
          <cell r="I11">
            <v>20</v>
          </cell>
          <cell r="J11">
            <v>50</v>
          </cell>
          <cell r="K11">
            <v>20</v>
          </cell>
          <cell r="L11">
            <v>80</v>
          </cell>
          <cell r="M11">
            <v>255</v>
          </cell>
          <cell r="N11">
            <v>0</v>
          </cell>
          <cell r="O11">
            <v>0</v>
          </cell>
          <cell r="P11">
            <v>0</v>
          </cell>
          <cell r="Q11">
            <v>10</v>
          </cell>
          <cell r="R11">
            <v>10</v>
          </cell>
          <cell r="S11">
            <v>20</v>
          </cell>
          <cell r="Y11" t="str">
            <v>Hidden Power, Secret Power, Thief, Screech, Fake Tears, Attract, Rest, Snore, Protect, Sunny Day, Rain Dance, Fling, Recycle, Façade, Round, Echoed Voice, Payback, Dig, Rock Tomb, Hone Claws, Snatch, Psych Up</v>
          </cell>
          <cell r="Z11" t="str">
            <v>Ice Beam, Blizzard, Foul Play, Strength, Substitute, Sleep Talk, Return, Frustration, Last Resort, Retaliate, Uproar, Knock Off, Endure, Super Fang, Endeavor</v>
          </cell>
          <cell r="AA11" t="str">
            <v>Autotomize, Quick Attack, Refresh, Sucker Punch, Switcheroo</v>
          </cell>
          <cell r="AB11" t="str">
            <v>Fake Out</v>
          </cell>
          <cell r="AC11" t="str">
            <v>1'04"
0.4 m</v>
          </cell>
          <cell r="AD11" t="str">
            <v>2.4 lbs
1.1 kg</v>
          </cell>
          <cell r="AE11" t="str">
            <v>Field
1♂ : 1♀</v>
          </cell>
        </row>
        <row r="12">
          <cell r="G12">
            <v>31</v>
          </cell>
          <cell r="H12">
            <v>91</v>
          </cell>
          <cell r="I12">
            <v>41</v>
          </cell>
          <cell r="J12">
            <v>81</v>
          </cell>
          <cell r="K12">
            <v>41</v>
          </cell>
          <cell r="L12">
            <v>121</v>
          </cell>
          <cell r="M12">
            <v>406</v>
          </cell>
          <cell r="N12">
            <v>0</v>
          </cell>
          <cell r="O12">
            <v>0</v>
          </cell>
          <cell r="P12">
            <v>0</v>
          </cell>
          <cell r="Q12">
            <v>60</v>
          </cell>
          <cell r="R12">
            <v>20</v>
          </cell>
          <cell r="S12">
            <v>80</v>
          </cell>
          <cell r="Y12" t="str">
            <v>Hyper Beam, Giga Impact, Hidden Power, Secret Power, Thief, Shadow Claw, Screech, Fake Tears, Will-O-Wisp, Nightmare, Attract, Rest, Snore, Protect, Sunny Day, Rain Dance, Fling, Recycle, Façade, Round, Echoed Voice, Payback, Dig, Rock Tomb, Snarl, Assurance, Phantom Force, Hone Claws, Snatch, Spite, Role Play, Psych Up, Pain Split</v>
          </cell>
          <cell r="Z12" t="str">
            <v>Ice Beam, Blizzard, Psychic, Foul Play, Hex, Shadow Ball, Strength, Substitute, Sleep Talk, Return, Frustration, Last Resort, Retaliate, Uproar, Poltergeist, Ally Switch, Knock Off, Torment, Endure, Super Fang, Endeavor</v>
          </cell>
          <cell r="AB12" t="str">
            <v>Fake Out</v>
          </cell>
          <cell r="AC12" t="str">
            <v>2'07"
0.8 m</v>
          </cell>
          <cell r="AD12" t="str">
            <v>9.0 lbs
4.1 kg</v>
          </cell>
          <cell r="AE12" t="str">
            <v>Field
1♂ : 1♀</v>
          </cell>
        </row>
        <row r="13">
          <cell r="G13">
            <v>50</v>
          </cell>
          <cell r="H13">
            <v>35</v>
          </cell>
          <cell r="I13">
            <v>40</v>
          </cell>
          <cell r="J13">
            <v>50</v>
          </cell>
          <cell r="K13">
            <v>50</v>
          </cell>
          <cell r="L13">
            <v>35</v>
          </cell>
          <cell r="M13">
            <v>260</v>
          </cell>
          <cell r="N13">
            <v>0</v>
          </cell>
          <cell r="O13">
            <v>20</v>
          </cell>
          <cell r="P13">
            <v>10</v>
          </cell>
          <cell r="Q13">
            <v>0</v>
          </cell>
          <cell r="R13">
            <v>0</v>
          </cell>
          <cell r="S13">
            <v>30</v>
          </cell>
          <cell r="Y13" t="str">
            <v>Hidden Power, Secret Power, Aerial Ace, Charm, Screech, Attract, Rest, Snore, Light Screen, Protect, Sunny Day, Rain Dance, Flash, Façade, Round, Echoed Voice, Fly, Icy Wind, Magic Coat, Role Play, After You</v>
          </cell>
          <cell r="Z13" t="str">
            <v>Hyper Voice, Hurricane, Iron Tail, Aqua Tail, Defog, Tailwind, Substitute, Roost, Sleep Talk, Return, Frustration, Last Resort, Uproar, Steel Wing, Heat Wave, Sky Attack, Encore, Endure, Endeavor</v>
          </cell>
          <cell r="AA13" t="str">
            <v>Aerate, Baton Pass, Bestow, Confide, Covet, Entrainment, Me First, Teeter Dance, Whirlwind</v>
          </cell>
          <cell r="AB13" t="str">
            <v>Follow Me</v>
          </cell>
          <cell r="AC13" t="str">
            <v>2'04"
0.7 m</v>
          </cell>
          <cell r="AD13" t="str">
            <v>37.5 lbs
17 kg</v>
          </cell>
          <cell r="AE13" t="str">
            <v>Flying
1♂ : 1♀</v>
          </cell>
        </row>
        <row r="14">
          <cell r="G14">
            <v>70</v>
          </cell>
          <cell r="H14">
            <v>40</v>
          </cell>
          <cell r="I14">
            <v>45</v>
          </cell>
          <cell r="J14">
            <v>65</v>
          </cell>
          <cell r="K14">
            <v>65</v>
          </cell>
          <cell r="L14">
            <v>50</v>
          </cell>
          <cell r="M14">
            <v>335</v>
          </cell>
          <cell r="N14">
            <v>0</v>
          </cell>
          <cell r="O14">
            <v>50</v>
          </cell>
          <cell r="P14">
            <v>10</v>
          </cell>
          <cell r="Q14">
            <v>0</v>
          </cell>
          <cell r="R14">
            <v>0</v>
          </cell>
          <cell r="S14">
            <v>60</v>
          </cell>
          <cell r="Y14" t="str">
            <v>Hidden Power, Secret Power, Aerial Ace, Charm, Screech, Attract, Rest, Snore, Light Screen, Protect, Sunny Day, Rain Dance, Façade, Round, Echoed Voice, Fly, Icy Wind, Magic Coat, Role Play, After You</v>
          </cell>
          <cell r="Z14" t="str">
            <v>Hyper Voice, Hurricane, Iron Tail, Aqua Tail, Defog, Tailwind, Substitute, Roost, Sleep Talk, Return, Frustration, Last Resort, Uproar, Steel Wing, Heat Wave, Sky Attack, Encore, Endure, Endeavor</v>
          </cell>
          <cell r="AB14" t="str">
            <v>Follow Me</v>
          </cell>
          <cell r="AC14" t="str">
            <v>4'07"
1.4 m</v>
          </cell>
          <cell r="AD14" t="str">
            <v>60.6 lbs
27.5 kg</v>
          </cell>
          <cell r="AE14" t="str">
            <v>Flying
1♂ : 1♀</v>
          </cell>
        </row>
        <row r="15">
          <cell r="G15">
            <v>110</v>
          </cell>
          <cell r="H15">
            <v>50</v>
          </cell>
          <cell r="I15">
            <v>55</v>
          </cell>
          <cell r="J15">
            <v>95</v>
          </cell>
          <cell r="K15">
            <v>95</v>
          </cell>
          <cell r="L15">
            <v>80</v>
          </cell>
          <cell r="M15">
            <v>485</v>
          </cell>
          <cell r="N15">
            <v>0</v>
          </cell>
          <cell r="O15">
            <v>80</v>
          </cell>
          <cell r="P15">
            <v>10</v>
          </cell>
          <cell r="Q15">
            <v>0</v>
          </cell>
          <cell r="R15">
            <v>0</v>
          </cell>
          <cell r="S15">
            <v>90</v>
          </cell>
          <cell r="Y15" t="str">
            <v>Hyper Beam, Giga Impact, Hidden Power, Secret Power, Aerial Ace, Charm, Screech, Attract, Rest, Snore, Light Screen, Protect, Sunny Day, Rain Dance, Flash, Façade, Round, Echoed Voice, Fly, Icy Wind, Magic Coat, Role Play, After You</v>
          </cell>
          <cell r="Z15" t="str">
            <v>Dazzling Gleam, Hyper Voice, Hurricane, Iron Tail, Aqua Tail, Defog, Tailwind, Substitute, Roost, Sleep Talk, Return, Frustration, Last Resort, Uproar, Steel Wing, Heat Wave, Sky Attack, Encore, Endure, Endeavor</v>
          </cell>
          <cell r="AB15" t="str">
            <v>Follow Me</v>
          </cell>
          <cell r="AC15" t="str">
            <v>5'07"
1.7 m</v>
          </cell>
          <cell r="AD15" t="str">
            <v>96.3 lbs
46.7 kg</v>
          </cell>
          <cell r="AE15" t="str">
            <v>Flying
1♂ : 1♀</v>
          </cell>
        </row>
        <row r="16">
          <cell r="G16">
            <v>38</v>
          </cell>
          <cell r="H16">
            <v>55</v>
          </cell>
          <cell r="I16">
            <v>36</v>
          </cell>
          <cell r="J16">
            <v>21</v>
          </cell>
          <cell r="K16">
            <v>34</v>
          </cell>
          <cell r="L16">
            <v>56</v>
          </cell>
          <cell r="M16">
            <v>240</v>
          </cell>
          <cell r="N16">
            <v>10</v>
          </cell>
          <cell r="O16">
            <v>0</v>
          </cell>
          <cell r="P16">
            <v>0</v>
          </cell>
          <cell r="Q16">
            <v>0</v>
          </cell>
          <cell r="R16">
            <v>0</v>
          </cell>
          <cell r="S16">
            <v>10</v>
          </cell>
          <cell r="Y16" t="str">
            <v>Hidden Power, Secret Power, Venoshock, Shadow Claw, Aerial Ace, Dragon Tail, Smart Strike, String Shot, Toxic, Attract, Rest, Protect, Sunny Day, Rain Dance, Flash, False Swipe, Façade, Round, Infestation, Dig, Electroweb, Hone Claws</v>
          </cell>
          <cell r="Z16" t="str">
            <v>Work Up, Swords Dance, Sludge Bomb, Sludge Wave, Signal Beam, Iron Tail, Aqua Tail, Poison Jab, Gunk Shot, Substitute, Sleep Talk, Return, Frustration, Last Resort, U-Turn, Endure, Endeavor</v>
          </cell>
          <cell r="AA16" t="str">
            <v>Night Slash, Toxic Spikes</v>
          </cell>
          <cell r="AB16" t="str">
            <v>Megahorn</v>
          </cell>
          <cell r="AE16" t="str">
            <v>Bug
1♂ : 1♀</v>
          </cell>
        </row>
        <row r="17">
          <cell r="G17">
            <v>48</v>
          </cell>
          <cell r="H17">
            <v>110</v>
          </cell>
          <cell r="I17">
            <v>61</v>
          </cell>
          <cell r="J17">
            <v>41</v>
          </cell>
          <cell r="K17">
            <v>59</v>
          </cell>
          <cell r="L17">
            <v>95</v>
          </cell>
          <cell r="M17">
            <v>414</v>
          </cell>
          <cell r="N17">
            <v>20</v>
          </cell>
          <cell r="O17">
            <v>0</v>
          </cell>
          <cell r="P17">
            <v>0</v>
          </cell>
          <cell r="Q17">
            <v>10</v>
          </cell>
          <cell r="R17">
            <v>20</v>
          </cell>
          <cell r="S17">
            <v>50</v>
          </cell>
          <cell r="Y17" t="str">
            <v>Hyper Beam, Giga Impact, Hidden Power, Secret Power, Venoshock, Shadow Claw, Aerial Ace, Dragon Tail, Smart Strike, String Shot, Toxic, Attract, Rest, Protect, Sunny Day, Rain Dance, False Swipe, Façade, Round, Infestation, Dig, Electroweb, Dual Chop, Hone Claws</v>
          </cell>
          <cell r="Z17" t="str">
            <v>Work Up, Swords Dance, Sludge Bomb, Sludge Wave, X-Scissor, Signal Beam, Iron Tail, Aqua Tail, Poison Jab, Gunk Shot, Substitute, Sleep Talk, Return, Frustration, Last Resort, U-Turn, Endure, Endeavor</v>
          </cell>
          <cell r="AA17" t="str">
            <v>Fury Cutter, Horn Attack, Poison Jab</v>
          </cell>
          <cell r="AB17" t="str">
            <v>Megahorn</v>
          </cell>
          <cell r="AE17" t="str">
            <v>Bug
1♂ : 1♀</v>
          </cell>
        </row>
        <row r="18">
          <cell r="G18">
            <v>68</v>
          </cell>
          <cell r="H18">
            <v>110</v>
          </cell>
          <cell r="I18">
            <v>72</v>
          </cell>
          <cell r="J18">
            <v>83</v>
          </cell>
          <cell r="K18">
            <v>68</v>
          </cell>
          <cell r="L18">
            <v>116</v>
          </cell>
          <cell r="M18">
            <v>517</v>
          </cell>
          <cell r="N18">
            <v>30</v>
          </cell>
          <cell r="O18">
            <v>20</v>
          </cell>
          <cell r="P18">
            <v>0</v>
          </cell>
          <cell r="Q18">
            <v>20</v>
          </cell>
          <cell r="R18">
            <v>30</v>
          </cell>
          <cell r="S18">
            <v>100</v>
          </cell>
          <cell r="Y18" t="str">
            <v>Hyper Beam, Giga Impact, Hidden Power, Secret Power, Shock Wave, Shadow Claw, Aerial Ace, Dragon Tail, Smart Strike, String Shot, Attract, Rest, Protect, Sunny Day, Rain Dance, False Swipe, Façade, Round, Infestation, Dig, Electroweb, Dual Chop, Hone Claws</v>
          </cell>
          <cell r="Z18" t="str">
            <v>Work Up, Swords Dance, Iron Defense, Rock Polish, Energy Ball, Flash Cannon, X-Scissor, Signal Beam, Iron Head, Iron Tail, Aqua Tail, Poison Jab, Vital Drain, Substitute, Sleep Talk, Return, Frustration, Last Resort, U-Turn, Solar Beam, Endure, Endeavor</v>
          </cell>
          <cell r="AA18" t="str">
            <v>Cross Poison, Double Hit, Poison Sting, Poison Tail, Slash, Sludge Bomb, Sludge Wave, Toxic, Twineedle, Venoshock
Steel Beam</v>
          </cell>
          <cell r="AB18" t="str">
            <v>Powder</v>
          </cell>
          <cell r="AE18" t="str">
            <v>Bug
1♂ : 1♀</v>
          </cell>
        </row>
        <row r="19">
          <cell r="G19">
            <v>30</v>
          </cell>
          <cell r="H19">
            <v>20</v>
          </cell>
          <cell r="I19">
            <v>80</v>
          </cell>
          <cell r="J19">
            <v>20</v>
          </cell>
          <cell r="K19">
            <v>40</v>
          </cell>
          <cell r="L19">
            <v>40</v>
          </cell>
          <cell r="M19">
            <v>230</v>
          </cell>
          <cell r="N19">
            <v>0</v>
          </cell>
          <cell r="O19">
            <v>0</v>
          </cell>
          <cell r="P19">
            <v>40</v>
          </cell>
          <cell r="Q19">
            <v>10</v>
          </cell>
          <cell r="R19">
            <v>0</v>
          </cell>
          <cell r="S19">
            <v>50</v>
          </cell>
          <cell r="Y19" t="str">
            <v>N/A</v>
          </cell>
          <cell r="Z19" t="str">
            <v>N/A</v>
          </cell>
          <cell r="AA19" t="str">
            <v>N/A</v>
          </cell>
          <cell r="AB19" t="str">
            <v>N/A</v>
          </cell>
          <cell r="AE19" t="str">
            <v>Mineral
Genderless</v>
          </cell>
        </row>
        <row r="20">
          <cell r="G20">
            <v>40</v>
          </cell>
          <cell r="H20">
            <v>50</v>
          </cell>
          <cell r="I20">
            <v>100</v>
          </cell>
          <cell r="J20">
            <v>30</v>
          </cell>
          <cell r="K20">
            <v>60</v>
          </cell>
          <cell r="L20">
            <v>40</v>
          </cell>
          <cell r="M20">
            <v>320</v>
          </cell>
          <cell r="N20">
            <v>20</v>
          </cell>
          <cell r="O20">
            <v>0</v>
          </cell>
          <cell r="P20">
            <v>10</v>
          </cell>
          <cell r="Q20">
            <v>20</v>
          </cell>
          <cell r="R20">
            <v>10</v>
          </cell>
          <cell r="S20">
            <v>60</v>
          </cell>
          <cell r="Y20" t="str">
            <v>Hidden Power, Secret Power, Shock Wave, Brick Break, Thunder Punch, Eerie Impulse, Thunder Wave, Rest, Protect, Sunny Day, Rain Dance, Flash, Fling, Recycle, Façade, Chip Away, Round, Payback, Electroweb, Rock Smash, Laser Focus, Magnet Rise, Magic Coat, Snatch, After You, Block</v>
          </cell>
          <cell r="Z20" t="str">
            <v>Work Up, Iron Defense, Thunderbolt, Thunder, Foul Play, Flash Cannon, Strength, Iron Head, Wild Charge, Flame Charge, Substitute, Sleep Talk, Helping Hand, Return, Frustration, Last Resort, Volt Switch, Gyro Ball, Explosion, Superpower, Ally Switch, Knock Off, Endure, Endeavor</v>
          </cell>
          <cell r="AA20" t="str">
            <v>Steel Beam</v>
          </cell>
          <cell r="AB20" t="str">
            <v>Autotomize</v>
          </cell>
          <cell r="AE20" t="str">
            <v>Mineral
Genderless</v>
          </cell>
        </row>
        <row r="21">
          <cell r="G21">
            <v>60</v>
          </cell>
          <cell r="H21">
            <v>80</v>
          </cell>
          <cell r="I21">
            <v>120</v>
          </cell>
          <cell r="J21">
            <v>60</v>
          </cell>
          <cell r="K21">
            <v>80</v>
          </cell>
          <cell r="L21">
            <v>40</v>
          </cell>
          <cell r="M21">
            <v>440</v>
          </cell>
          <cell r="N21">
            <v>40</v>
          </cell>
          <cell r="O21">
            <v>0</v>
          </cell>
          <cell r="P21">
            <v>0</v>
          </cell>
          <cell r="Q21">
            <v>20</v>
          </cell>
          <cell r="R21">
            <v>30</v>
          </cell>
          <cell r="S21">
            <v>90</v>
          </cell>
          <cell r="Y21" t="str">
            <v>Hyper Beam, Giga Impact, Hidden Power, Secret Power, Shock Wave, Bulldoze, Rock Slide, Brick Break, Thunder Punch, Eerie Impulse, Thunder Wave, Rest, Protect, Sunny Day, Rain Dance, Flash, Fling, Recycle, Façade, Chip Away, Rock Climb, Round, Avalanche, Payback, Fly, Charge Beam, Electroweb, Rock Smash, Laser Focus, Magnet Rise, Magic Coat, Snatch, After You, Block</v>
          </cell>
          <cell r="Z21" t="str">
            <v>Work Up, Iron Defense, Thunderbolt, Thunder, Surf, Foul Play, Flash Cannon, Strength, Earth Power, Earthquake, Stone Edge, Iron Head, Wild Charge, Flame Charge, Drill Run, Substitute, Sleep Talk, Helping Hand, Return, Frustration, Last Resort, Body Press, Volt Switch, Gyro Ball, Explosion, Superpower, Ally Switch, Knock Off, Endure, Endeavor</v>
          </cell>
          <cell r="AA21" t="str">
            <v>Steel Beam</v>
          </cell>
          <cell r="AB21" t="str">
            <v>Double Iron Bash</v>
          </cell>
          <cell r="AE21" t="str">
            <v>Mineral
Genderless</v>
          </cell>
        </row>
        <row r="22">
          <cell r="G22">
            <v>60</v>
          </cell>
          <cell r="H22">
            <v>60</v>
          </cell>
          <cell r="I22">
            <v>120</v>
          </cell>
          <cell r="J22">
            <v>60</v>
          </cell>
          <cell r="K22">
            <v>80</v>
          </cell>
          <cell r="L22">
            <v>60</v>
          </cell>
          <cell r="M22">
            <v>440</v>
          </cell>
          <cell r="N22">
            <v>40</v>
          </cell>
          <cell r="O22">
            <v>0</v>
          </cell>
          <cell r="P22">
            <v>0</v>
          </cell>
          <cell r="Q22">
            <v>30</v>
          </cell>
          <cell r="R22">
            <v>20</v>
          </cell>
          <cell r="S22">
            <v>90</v>
          </cell>
          <cell r="Y22" t="str">
            <v>Hyper Beam, Giga Impact, Hidden Power, Secret Power, Water Pulse, Shock Wave, Brick Break, Thunder Punch, Eerie Impulse, Thunder Wave, Rest, Protect, Sunny Day, Rain Dance, Flash, Fling, Recycle, Façade, Chip Away, Round, Payback, Brine, Whirlpool, Dive, Charge Beam, Electroweb, Rock Smash, Laser Focus, Magnet Rise, Magic Coat, Snatch, After You, Block</v>
          </cell>
          <cell r="Z22" t="str">
            <v>Work Up, Iron Defense, Ice Beam, Thunderbolt, Thunder, Surf, Hydro Pump, Foul Play, Flash Cannon, Strength, Iron Head, Waterfall, Wild Charge, Flame Charge, Substitute, Sleep Talk, Helping Hand, Return, Frustration, Last Resort, Body Press, Volt Switch, Gyro Ball, Explosion, Superpower, Ally Switch, Knock Off, Endure, Endeavor</v>
          </cell>
          <cell r="AA22" t="str">
            <v>Steel Beam</v>
          </cell>
          <cell r="AB22" t="str">
            <v>Double Iron Bash</v>
          </cell>
          <cell r="AE22" t="str">
            <v>Mineral
Genderless</v>
          </cell>
        </row>
        <row r="23">
          <cell r="G23">
            <v>60</v>
          </cell>
          <cell r="H23">
            <v>80</v>
          </cell>
          <cell r="I23">
            <v>120</v>
          </cell>
          <cell r="J23">
            <v>60</v>
          </cell>
          <cell r="K23">
            <v>40</v>
          </cell>
          <cell r="L23">
            <v>80</v>
          </cell>
          <cell r="M23">
            <v>440</v>
          </cell>
          <cell r="N23">
            <v>40</v>
          </cell>
          <cell r="O23">
            <v>0</v>
          </cell>
          <cell r="P23">
            <v>0</v>
          </cell>
          <cell r="Q23">
            <v>40</v>
          </cell>
          <cell r="R23">
            <v>10</v>
          </cell>
          <cell r="S23">
            <v>90</v>
          </cell>
          <cell r="Y23" t="str">
            <v>Hyper Beam, Giga Impact, Hidden Power, Secret Power, Shock Wave, Brick Break, Aerial Ace, Thunder Punch, Eerie Impulse, Thunder Wave, Rest, Protect, Sunny Day, Rain Dance, Flash, Fling, Recycle, Façade, Chip Away, Round, Payback, Fly, Charge Beam, Electroweb, Rock Smash, Laser Focus, Magnet Rise, Magic Coat, Snatch, After You, Block</v>
          </cell>
          <cell r="Z23" t="str">
            <v>Work Up, Iron Defense, Thunderbolt, Thunder, Foul Play, Flash Cannon, Strength, Acrobatics, Hurricane, Iron Head, Wild Charge, Flame Charge, Defog, Substitute, Sleep Talk, Helping Hand, Return, Frustration, Last Resort, Body Press, Steel Wing, Volt Switch, Gyro Ball, Explosion, Superpower, Ally Switch, Knock Off, Endure, Endeavor</v>
          </cell>
          <cell r="AA23" t="str">
            <v>Steel Beam</v>
          </cell>
          <cell r="AB23" t="str">
            <v>Double Iron Bash</v>
          </cell>
          <cell r="AE23" t="str">
            <v>Mineral
Genderless</v>
          </cell>
        </row>
        <row r="24">
          <cell r="G24">
            <v>25</v>
          </cell>
          <cell r="H24">
            <v>40</v>
          </cell>
          <cell r="I24">
            <v>40</v>
          </cell>
          <cell r="J24">
            <v>25</v>
          </cell>
          <cell r="K24">
            <v>25</v>
          </cell>
          <cell r="L24">
            <v>60</v>
          </cell>
          <cell r="M24">
            <v>215</v>
          </cell>
          <cell r="N24">
            <v>0</v>
          </cell>
          <cell r="O24">
            <v>0</v>
          </cell>
          <cell r="P24">
            <v>0</v>
          </cell>
          <cell r="Q24">
            <v>0</v>
          </cell>
          <cell r="R24">
            <v>20</v>
          </cell>
          <cell r="S24">
            <v>20</v>
          </cell>
          <cell r="Y24" t="str">
            <v>Hidden Power, Secret Power, Water Pulse, Bug Bite, Attract, Rest, Protect, Rain Dance, Flash, Façade, Round, Payback, Whirlpool, Dive, Laser Focus</v>
          </cell>
          <cell r="Z24" t="str">
            <v>Iron Defense, Surf, Hydro Pump, Signal Beam, Waterfall, Flame Charge, Substitute, Sleep Talk, Return, Frustration, U-Turn, Scald, Explosion, Endure</v>
          </cell>
          <cell r="AA24" t="str">
            <v>First Impression</v>
          </cell>
          <cell r="AB24" t="str">
            <v>Lunge</v>
          </cell>
          <cell r="AE24" t="str">
            <v>Bug &amp; Water 3
1♂ : 1♀</v>
          </cell>
        </row>
        <row r="25">
          <cell r="G25">
            <v>55</v>
          </cell>
          <cell r="H25">
            <v>80</v>
          </cell>
          <cell r="I25">
            <v>100</v>
          </cell>
          <cell r="J25">
            <v>40</v>
          </cell>
          <cell r="K25">
            <v>70</v>
          </cell>
          <cell r="L25">
            <v>80</v>
          </cell>
          <cell r="M25">
            <v>425</v>
          </cell>
          <cell r="N25">
            <v>0</v>
          </cell>
          <cell r="O25">
            <v>20</v>
          </cell>
          <cell r="P25">
            <v>0</v>
          </cell>
          <cell r="Q25">
            <v>0</v>
          </cell>
          <cell r="R25">
            <v>30</v>
          </cell>
          <cell r="S25">
            <v>50</v>
          </cell>
          <cell r="Y25" t="str">
            <v>Hyper Beam, Giga Impact, Hidden Power, Secret Power, Water Pulse, Bug Bite, Attract, Rest, Protect, Rain Dance, Flash, Façade, Round, Payback, Whirlpool, Dive, Full Collide, Laser Focus</v>
          </cell>
          <cell r="Z25" t="str">
            <v>Iron Defense, Rock Polish, Ice Beam, Blizzard, Surf, Hydro Pump, Signal Beam, Iron Head, Waterfall, Flame Charge, Substitute, Sleep Talk, Return, Frustration, U-Turn, Scald, Explosion, Superpower, Endure</v>
          </cell>
          <cell r="AB25" t="str">
            <v>Lunge</v>
          </cell>
          <cell r="AE25" t="str">
            <v>Bug &amp; Water 3
1♂ : 1♀</v>
          </cell>
        </row>
        <row r="26">
          <cell r="G26">
            <v>30</v>
          </cell>
          <cell r="H26">
            <v>30</v>
          </cell>
          <cell r="I26">
            <v>100</v>
          </cell>
          <cell r="J26">
            <v>70</v>
          </cell>
          <cell r="K26">
            <v>100</v>
          </cell>
          <cell r="L26">
            <v>5</v>
          </cell>
          <cell r="M26">
            <v>335</v>
          </cell>
          <cell r="N26">
            <v>0</v>
          </cell>
          <cell r="O26">
            <v>10</v>
          </cell>
          <cell r="P26">
            <v>0</v>
          </cell>
          <cell r="Q26">
            <v>30</v>
          </cell>
          <cell r="R26">
            <v>30</v>
          </cell>
          <cell r="S26">
            <v>70</v>
          </cell>
          <cell r="Y26" t="str">
            <v>Hidden Power, Secret Power, Nightmare, Rest, Protect, Reflect, Light Screen, Safeguard, Sunny Day, Rain Dance, Sandstorm, Psychic Terrain, Trick Room, Wonder Room, Magic Room, Gravity, Flash, Embargo, Charge Beam, Rock Tomb, Psych Up</v>
          </cell>
          <cell r="Z26" t="str">
            <v>Calm Mind, Iron Defense, Nasty Plot, Amnesia, Flamethrower, Fire Blast, Psyshock, Psychic, Shadow Ball, Flash Cannon, Dazzling Gleam, Earth Power, Power Gem, Signal Beam, Substitute, Dream Eater, Future Sight, Overheat, Solar Beam, Explosion, Endure</v>
          </cell>
          <cell r="AA26" t="str">
            <v>Meteor Beam, Stasis</v>
          </cell>
          <cell r="AB26" t="str">
            <v>Aurora Beam</v>
          </cell>
          <cell r="AE26" t="str">
            <v>Mineral
Genderless</v>
          </cell>
        </row>
        <row r="27">
          <cell r="G27">
            <v>55</v>
          </cell>
          <cell r="H27">
            <v>30</v>
          </cell>
          <cell r="I27">
            <v>150</v>
          </cell>
          <cell r="J27">
            <v>90</v>
          </cell>
          <cell r="K27">
            <v>150</v>
          </cell>
          <cell r="L27">
            <v>10</v>
          </cell>
          <cell r="M27">
            <v>485</v>
          </cell>
          <cell r="N27">
            <v>0</v>
          </cell>
          <cell r="O27">
            <v>20</v>
          </cell>
          <cell r="P27">
            <v>0</v>
          </cell>
          <cell r="Q27">
            <v>50</v>
          </cell>
          <cell r="R27">
            <v>50</v>
          </cell>
          <cell r="S27">
            <v>120</v>
          </cell>
          <cell r="Y27" t="str">
            <v>Hyper Beam, Hidden Power, Secret Power, Nightmare, Rest, Protect, Reflect, Light Screen, Safeguard, Sunny Day, Rain Dance, Sandstorm, Psychic Terrain, Trick Room, Wonder Room, Magic Room, Gravity, Flash, Embargo, Charge Beam, Rock Tomb, Psych Up</v>
          </cell>
          <cell r="Z27" t="str">
            <v>Calm Mind, Iron Defense, Nasty Plot, Amnesia, Flamethrower, Fire Blast, Psyshock, Psychic, Shadow Ball, Flash Cannon, Dazzling Gleam, Earth Power, Power Gem, Signal Beam, Substitute, Dream Eater, Future Sight, Overheat, Solar Beam, Explosion, Endure</v>
          </cell>
          <cell r="AA27" t="str">
            <v>Meteor Beam, Stasis</v>
          </cell>
          <cell r="AB27" t="str">
            <v>Prismatic Laser</v>
          </cell>
          <cell r="AE27" t="str">
            <v>Mineral
Genderless</v>
          </cell>
        </row>
        <row r="28">
          <cell r="G28">
            <v>45</v>
          </cell>
          <cell r="H28">
            <v>80</v>
          </cell>
          <cell r="I28">
            <v>45</v>
          </cell>
          <cell r="J28">
            <v>70</v>
          </cell>
          <cell r="K28">
            <v>40</v>
          </cell>
          <cell r="L28">
            <v>65</v>
          </cell>
          <cell r="M28">
            <v>345</v>
          </cell>
          <cell r="N28">
            <v>10</v>
          </cell>
          <cell r="O28">
            <v>0</v>
          </cell>
          <cell r="P28">
            <v>10</v>
          </cell>
          <cell r="Q28">
            <v>0</v>
          </cell>
          <cell r="R28">
            <v>20</v>
          </cell>
          <cell r="S28">
            <v>40</v>
          </cell>
          <cell r="Y28" t="str">
            <v>Hidden Power, Secret Power, Water Pulse, Screech, Attract, Rest, Snore, Protect, Sunny Day, Rain Dance, Façade, Chip Away, Round, Payback, Brine, Whirlpool, Dive, Snarl, Compensation, Spite</v>
          </cell>
          <cell r="Z28" t="str">
            <v>Work Up, Swords Dance, Ice Beam, Blizzard, Surf, Hydro Pump, Waterfall, Aqua Tail, Substitute, Sleep Talk, Return, Frustration, Last Resort, U-Turn, Scald, Knock Off, Taunt, Torment, Roar, Endure, Super Fang, Endeavor</v>
          </cell>
          <cell r="AA28" t="str">
            <v>Assurance, Chip Away, Dragon Dance, Fake Tears, Ice Fang, Punishment, Tantrum</v>
          </cell>
          <cell r="AB28" t="str">
            <v>Glare</v>
          </cell>
          <cell r="AE28" t="str">
            <v>Water 2 &amp; Dragon
1♂ : 1♀</v>
          </cell>
        </row>
        <row r="29">
          <cell r="G29">
            <v>70</v>
          </cell>
          <cell r="H29">
            <v>125</v>
          </cell>
          <cell r="I29">
            <v>70</v>
          </cell>
          <cell r="J29">
            <v>110</v>
          </cell>
          <cell r="K29">
            <v>55</v>
          </cell>
          <cell r="L29">
            <v>95</v>
          </cell>
          <cell r="M29">
            <v>525</v>
          </cell>
          <cell r="N29">
            <v>30</v>
          </cell>
          <cell r="O29">
            <v>10</v>
          </cell>
          <cell r="P29">
            <v>0</v>
          </cell>
          <cell r="Q29">
            <v>0</v>
          </cell>
          <cell r="R29">
            <v>40</v>
          </cell>
          <cell r="S29">
            <v>80</v>
          </cell>
          <cell r="Y29" t="str">
            <v>Hyper Beam, Giga Impact, Hidden Power, Secret Power, Water Pulse, Dragon Tail, Screech, Attract, Rest, Snore, Protect, Sunny Day, Rain Dance, Façade, Chip Away, Round, Payback, Brine, Whirlpool, Dive, Snarl, Compensation, Spite</v>
          </cell>
          <cell r="Z29" t="str">
            <v>Work Up, Swords Dance, Ice Beam, Blizzard, Surf, Hydro Pump, Dragon Pulse, Waterfall, Aqua Tail, Substitute, Sleep Talk, Return, Frustration, Last Resort, U-Turn, Scald, Outrage, Knock Off, Taunt, Torment, Roar, Endure, Super Fang, Endeavor</v>
          </cell>
          <cell r="AA29" t="str">
            <v>Draco Meteor</v>
          </cell>
          <cell r="AB29" t="str">
            <v>Glare</v>
          </cell>
          <cell r="AE29" t="str">
            <v>Water 2 &amp; Dragon
1♂ : 1♀</v>
          </cell>
        </row>
        <row r="30">
          <cell r="G30">
            <v>45</v>
          </cell>
          <cell r="H30">
            <v>65</v>
          </cell>
          <cell r="I30">
            <v>40</v>
          </cell>
          <cell r="J30">
            <v>70</v>
          </cell>
          <cell r="K30">
            <v>80</v>
          </cell>
          <cell r="L30">
            <v>45</v>
          </cell>
          <cell r="M30">
            <v>345</v>
          </cell>
          <cell r="N30">
            <v>0</v>
          </cell>
          <cell r="O30">
            <v>0</v>
          </cell>
          <cell r="P30">
            <v>30</v>
          </cell>
          <cell r="Q30">
            <v>10</v>
          </cell>
          <cell r="R30">
            <v>0</v>
          </cell>
          <cell r="S30">
            <v>40</v>
          </cell>
          <cell r="Y30" t="str">
            <v>Hidden Power, Secret Power, Water Pulse, Attract, Rest, Snore, Protect, Safeguard, Sunny Day, Rain Dance, Recycle, Façade, Round, Brine, Whirlpool, Infestation, Dive, Icy Wind</v>
          </cell>
          <cell r="Z30" t="str">
            <v>Ice Beam, Blizzard, Surf, Hydro Pump, Sludge Wave, Waterfall, Aqua Tail, Gunk Shot, Vital Drain, Defog, Substitute, Dream Eater, Sleep Talk, Helping Hand, Return, Frustration, U-Turn, Scald, Endure</v>
          </cell>
          <cell r="AA30" t="str">
            <v>Bind, Metal Sound, Refresh, Skull Bash, Sonic Boom, Spit Up, Uproar, Water Pulse</v>
          </cell>
          <cell r="AB30" t="str">
            <v>Purify</v>
          </cell>
          <cell r="AE30" t="str">
            <v>Water 2
1♂ : 1♀</v>
          </cell>
        </row>
        <row r="31">
          <cell r="G31">
            <v>70</v>
          </cell>
          <cell r="H31">
            <v>70</v>
          </cell>
          <cell r="I31">
            <v>125</v>
          </cell>
          <cell r="J31">
            <v>95</v>
          </cell>
          <cell r="K31">
            <v>110</v>
          </cell>
          <cell r="L31">
            <v>55</v>
          </cell>
          <cell r="M31">
            <v>525</v>
          </cell>
          <cell r="N31">
            <v>0</v>
          </cell>
          <cell r="O31">
            <v>0</v>
          </cell>
          <cell r="P31">
            <v>0</v>
          </cell>
          <cell r="Q31">
            <v>30</v>
          </cell>
          <cell r="R31">
            <v>30</v>
          </cell>
          <cell r="S31">
            <v>60</v>
          </cell>
          <cell r="Y31" t="str">
            <v>Hyper Beam, Giga Impact, Hidden Power, Secret Power, Water Pulse, Screech, Attract, Rest, Snore, Protect, Safeguard, Sunny Day, Rain Dance, Fling, Recycle, Façade, Round, Brine, Whirlpool, Infestation, Dive, Icy Wind</v>
          </cell>
          <cell r="Z31" t="str">
            <v>Iron Defense, Ice Beam, Blizzard, Surf, Hydro Pump, Sludge Wave, Flash Cannon, Hyper Voice, Iron Head, Iron Tail, Waterfall, Aqua Tail, Gunk Shot, Vital Drain, Defog, Substitute, Dream Eater, Sleep Talk, Helping Hand, Return, Frustration, Uproar, U-Turn, Volt Switch, Scald, Explosion, Roar, Endure</v>
          </cell>
          <cell r="AA31" t="str">
            <v>Steel Beam</v>
          </cell>
          <cell r="AB31" t="str">
            <v>Purify</v>
          </cell>
          <cell r="AE31" t="str">
            <v>Water 2
1♂ : 1♀</v>
          </cell>
        </row>
        <row r="32">
          <cell r="G32">
            <v>87</v>
          </cell>
          <cell r="H32">
            <v>87</v>
          </cell>
          <cell r="I32">
            <v>77</v>
          </cell>
          <cell r="J32">
            <v>87</v>
          </cell>
          <cell r="K32">
            <v>77</v>
          </cell>
          <cell r="L32">
            <v>77</v>
          </cell>
          <cell r="M32">
            <v>492</v>
          </cell>
          <cell r="N32">
            <v>50</v>
          </cell>
          <cell r="O32">
            <v>0</v>
          </cell>
          <cell r="P32">
            <v>0</v>
          </cell>
          <cell r="Q32">
            <v>0</v>
          </cell>
          <cell r="R32">
            <v>20</v>
          </cell>
          <cell r="S32">
            <v>70</v>
          </cell>
          <cell r="Y32" t="str">
            <v>Hyper Beam, Giga Impact, Hidden Power, Secret Power, Water Pulse, Venoshock, Toxic, Rest, Protect, Rain Dance, Façade, Round, Payback, Brine, Whirlpool, Dive, Icy Wind, Assurance</v>
          </cell>
          <cell r="Z32" t="str">
            <v>Swords Dance, Ice Beam, Blizzard, Surf, Hydro Pump, Sludge Bomb, Sludge Wave, Dark Pulse, Waterfall, Aqua Tail, Poison Jab, Gunk Shot, Substitute, Sleep Talk, Return, Frustration, U-Turn, Scald, Endure</v>
          </cell>
          <cell r="AA32" t="str">
            <v>Aqua Ring, Bubble Beam, Clear Smog, Mean Look, Muddy Water</v>
          </cell>
          <cell r="AB32" t="str">
            <v>Needle Arm</v>
          </cell>
          <cell r="AE32" t="str">
            <v>Water 2
1♂ : 1♀</v>
          </cell>
        </row>
        <row r="33">
          <cell r="G33">
            <v>40</v>
          </cell>
          <cell r="H33">
            <v>70</v>
          </cell>
          <cell r="I33">
            <v>50</v>
          </cell>
          <cell r="J33">
            <v>100</v>
          </cell>
          <cell r="K33">
            <v>120</v>
          </cell>
          <cell r="L33">
            <v>90</v>
          </cell>
          <cell r="M33">
            <v>470</v>
          </cell>
          <cell r="N33">
            <v>0</v>
          </cell>
          <cell r="O33">
            <v>20</v>
          </cell>
          <cell r="P33">
            <v>60</v>
          </cell>
          <cell r="Q33">
            <v>20</v>
          </cell>
          <cell r="R33">
            <v>0</v>
          </cell>
          <cell r="S33">
            <v>100</v>
          </cell>
          <cell r="Y33" t="str">
            <v>Hyper Beam, Giga Impact, Hidden Power, Secret Power, Charm, Fake Tears, String Shot, Attract, Rest, Protect, Reflect, Light Screen, Safeguard, Sunny Day, Rain Dance, Misty Terrain, Wonder Room, Magic Room, Recycle, Façade, Round, Echoed Voice, Icy Wind, Phantom Force, Magic Coat, Snatch, Spite, Role Play, After You, Pain Split</v>
          </cell>
          <cell r="Z33" t="str">
            <v>Calm Mind, Amnesia, Psychic, Foul Play, Hex, Shadow Ball, Substitute, Sleep Talk, Helping Hand, Heal Bell, Return, Frustration, Last Resort, Poltergeist, Skill Swap, Ally Switch, Trick, Knock Off, Encore, Torment, Endure</v>
          </cell>
          <cell r="AA33" t="str">
            <v>Ancient Power, Charm, Cotton Guard, Cotton Spore, Fake Tears, Sleep Powder, Play Rough</v>
          </cell>
          <cell r="AB33" t="str">
            <v>Fairy Lock</v>
          </cell>
          <cell r="AE33" t="str">
            <v>Fairy &amp; Amorphous
1♂ : 3♀</v>
          </cell>
        </row>
        <row r="34">
          <cell r="G34">
            <v>65</v>
          </cell>
          <cell r="H34">
            <v>45</v>
          </cell>
          <cell r="I34">
            <v>60</v>
          </cell>
          <cell r="J34">
            <v>65</v>
          </cell>
          <cell r="K34">
            <v>75</v>
          </cell>
          <cell r="L34">
            <v>40</v>
          </cell>
          <cell r="M34">
            <v>350</v>
          </cell>
          <cell r="N34">
            <v>0</v>
          </cell>
          <cell r="O34">
            <v>0</v>
          </cell>
          <cell r="P34">
            <v>20</v>
          </cell>
          <cell r="Q34">
            <v>0</v>
          </cell>
          <cell r="R34">
            <v>10</v>
          </cell>
          <cell r="S34">
            <v>30</v>
          </cell>
          <cell r="Y34" t="str">
            <v>Hidden Power, Secret Power, Nature Power, Bulldoze, Rock Slide, Attract, Rest, Protect, Sunny Day, Rain Dance, Grassy Terrain, Façade, Natural Gift, Round, Rock Tomb, Smack Down</v>
          </cell>
          <cell r="Z34" t="str">
            <v>Rock Polish, Grass Knot, Energy Ball, Strength, Stone Edge, Seed Bomb, Substitute, Synthesis, Sleep Talk, Return, Frustration, Solar Beam, Endure</v>
          </cell>
          <cell r="AB34" t="str">
            <v>Trop Kick</v>
          </cell>
          <cell r="AE34" t="str">
            <v>Monster &amp; Grass
7♂ : 1♀</v>
          </cell>
        </row>
        <row r="35">
          <cell r="G35">
            <v>100</v>
          </cell>
          <cell r="H35">
            <v>60</v>
          </cell>
          <cell r="I35">
            <v>90</v>
          </cell>
          <cell r="J35">
            <v>90</v>
          </cell>
          <cell r="K35">
            <v>100</v>
          </cell>
          <cell r="L35">
            <v>55</v>
          </cell>
          <cell r="M35">
            <v>495</v>
          </cell>
          <cell r="N35">
            <v>0</v>
          </cell>
          <cell r="O35">
            <v>30</v>
          </cell>
          <cell r="P35">
            <v>0</v>
          </cell>
          <cell r="Q35">
            <v>0</v>
          </cell>
          <cell r="R35">
            <v>20</v>
          </cell>
          <cell r="S35">
            <v>50</v>
          </cell>
          <cell r="Y35" t="str">
            <v>Hyper Beam, Giga Impact, Hidden Power, Secret Power, Nature Power, Bulldoze, Rock Slide, Attract, Rest, Protect, Sunny Day, Rain Dance, Grassy Terrain, Façade, Natural Gift, Round, Rock Tomb, Smack Down</v>
          </cell>
          <cell r="Z35" t="str">
            <v>Rock Polish, Grass Knot, Energy Ball, Strength, Earthquake, Stone Edge, Seed Bomb, Substitute, Synthesis, Sleep Talk, Return, Frustration, Body Press, Solar Beam, Endure</v>
          </cell>
          <cell r="AB35" t="str">
            <v>Trop Kick</v>
          </cell>
          <cell r="AE35" t="str">
            <v>Monster &amp; Grass
7♂ : 1♀</v>
          </cell>
        </row>
        <row r="36">
          <cell r="G36">
            <v>50</v>
          </cell>
          <cell r="H36">
            <v>100</v>
          </cell>
          <cell r="I36">
            <v>90</v>
          </cell>
          <cell r="J36">
            <v>30</v>
          </cell>
          <cell r="K36">
            <v>50</v>
          </cell>
          <cell r="L36">
            <v>30</v>
          </cell>
          <cell r="M36">
            <v>350</v>
          </cell>
          <cell r="N36">
            <v>0</v>
          </cell>
          <cell r="O36">
            <v>0</v>
          </cell>
          <cell r="P36">
            <v>0</v>
          </cell>
          <cell r="Q36">
            <v>0</v>
          </cell>
          <cell r="R36">
            <v>50</v>
          </cell>
          <cell r="S36">
            <v>50</v>
          </cell>
          <cell r="Y36" t="str">
            <v>Hidden Power, Secret Power, Bulldoze, Rock Slide, Brick Break, Dragon Tail, Screech, Attract, Rest, Snore, Protect, Sunny Day, Rain Dance, Sandstorm, Gravity, Façade, Chip Away, Rock Climb, Round, Rock Tomb, Low Sweep, Breaking Swipe, Rock Smash, Brutal Swing, Tantrum, Smack Down</v>
          </cell>
          <cell r="Z36" t="str">
            <v>Iron Defense, Rock Polish, Flash Cannon, Strength, Earthquake, Earth Power, Stone Edge, Iron Head, Iron Tail, Aqua Tail, Zen Headbutt, Substitute, Sleep Talk, Stealth Rock, Return, Frustration, Body Press, Superpower, Outrage, Knock Off, Roar, Endure</v>
          </cell>
          <cell r="AA36" t="str">
            <v>Fire Fang, Hammer Arm, Heavy Slam, Ice Fang, Stealth Rock, Thunder Fang
Steel Beam</v>
          </cell>
          <cell r="AB36" t="str">
            <v>Dragon Hammer</v>
          </cell>
          <cell r="AE36" t="str">
            <v>Monster
7♂ : 1♀</v>
          </cell>
        </row>
        <row r="37">
          <cell r="G37">
            <v>80</v>
          </cell>
          <cell r="H37">
            <v>135</v>
          </cell>
          <cell r="I37">
            <v>120</v>
          </cell>
          <cell r="J37">
            <v>50</v>
          </cell>
          <cell r="K37">
            <v>80</v>
          </cell>
          <cell r="L37">
            <v>30</v>
          </cell>
          <cell r="M37">
            <v>495</v>
          </cell>
          <cell r="N37">
            <v>0</v>
          </cell>
          <cell r="O37">
            <v>0</v>
          </cell>
          <cell r="P37">
            <v>0</v>
          </cell>
          <cell r="Q37">
            <v>0</v>
          </cell>
          <cell r="R37">
            <v>90</v>
          </cell>
          <cell r="S37">
            <v>90</v>
          </cell>
          <cell r="Y37" t="str">
            <v>Hyper Beam, Giga Impact, Hidden Power, Secret Power, Bulldoze, Rock Slide, Brick Break, Dragon Tail, Screech, Attract, Rest, Snore, Protect, Sunny Day, Rain Dance, Sandstorm, Gravity, Façade, Chip Away, Rock Climb, Round, Rock Tomb, Low Sweep, Breaking Swipe, Rock Smash, Brutal Swing, Tantrum, Smack Down</v>
          </cell>
          <cell r="Z37" t="str">
            <v>Iron Defense, Rock Polish, Flash Cannon, Strength, Earthquake, Earth Power, Stone Edge, Iron Head, Iron Tail, Aqua Tail, Zen Headbutt, Substitute, Sleep Talk, Stealth Rock, Return, Frustration, Body Press, Superpower, Outrage, Knock Off, Roar, Endure</v>
          </cell>
          <cell r="AA37" t="str">
            <v>Steel Beam</v>
          </cell>
          <cell r="AB37" t="str">
            <v>Dragon Hammer</v>
          </cell>
          <cell r="AE37" t="str">
            <v>Monster
7♂ : 1♀</v>
          </cell>
        </row>
        <row r="38">
          <cell r="G38">
            <v>71</v>
          </cell>
          <cell r="H38">
            <v>22</v>
          </cell>
          <cell r="I38">
            <v>33</v>
          </cell>
          <cell r="J38">
            <v>54</v>
          </cell>
          <cell r="K38">
            <v>45</v>
          </cell>
          <cell r="L38">
            <v>26</v>
          </cell>
          <cell r="M38">
            <v>251</v>
          </cell>
          <cell r="N38">
            <v>0</v>
          </cell>
          <cell r="O38">
            <v>0</v>
          </cell>
          <cell r="P38">
            <v>0</v>
          </cell>
          <cell r="Q38">
            <v>20</v>
          </cell>
          <cell r="R38">
            <v>20</v>
          </cell>
          <cell r="S38">
            <v>40</v>
          </cell>
          <cell r="Y38" t="str">
            <v>N/A</v>
          </cell>
          <cell r="Z38" t="str">
            <v>N/A</v>
          </cell>
          <cell r="AA38" t="str">
            <v>N/A</v>
          </cell>
          <cell r="AB38" t="str">
            <v>N/A</v>
          </cell>
          <cell r="AE38" t="str">
            <v>Mineral &amp; Grass
1♂ : 1♀</v>
          </cell>
        </row>
        <row r="39">
          <cell r="G39">
            <v>124</v>
          </cell>
          <cell r="H39">
            <v>45</v>
          </cell>
          <cell r="I39">
            <v>76</v>
          </cell>
          <cell r="J39">
            <v>87</v>
          </cell>
          <cell r="K39">
            <v>88</v>
          </cell>
          <cell r="L39">
            <v>49</v>
          </cell>
          <cell r="M39">
            <v>469</v>
          </cell>
          <cell r="N39">
            <v>0</v>
          </cell>
          <cell r="O39">
            <v>10</v>
          </cell>
          <cell r="P39">
            <v>0</v>
          </cell>
          <cell r="Q39">
            <v>30</v>
          </cell>
          <cell r="R39">
            <v>20</v>
          </cell>
          <cell r="S39">
            <v>60</v>
          </cell>
          <cell r="Y39" t="str">
            <v>Hyper Beam, Giga Impact, Hidden Power, Secret Power, Nature Power, Giga Drain, Rock Slide, Rest, Protect, Sunny Day, Rain Dance, Sandstorm, Recycle, Façade, Natural Gift, Round, Rock Tomb, Smack Down, Pain Split</v>
          </cell>
          <cell r="Z39" t="str">
            <v>Grass Knot, Energy Ball, Sludge Bomb, Earth Power, Stone Edge, Substitute, Synthesis, Sleep Talk, Stealth Rock, Return, Frustration, Solar Beam, Explosion, Endure</v>
          </cell>
          <cell r="AB39" t="str">
            <v>Ancient Power</v>
          </cell>
          <cell r="AE39" t="str">
            <v>Mineral &amp; Grass
1♂ : 1♀</v>
          </cell>
        </row>
        <row r="40">
          <cell r="G40">
            <v>72</v>
          </cell>
          <cell r="H40">
            <v>84</v>
          </cell>
          <cell r="I40">
            <v>60</v>
          </cell>
          <cell r="J40">
            <v>80</v>
          </cell>
          <cell r="K40">
            <v>48</v>
          </cell>
          <cell r="L40">
            <v>96</v>
          </cell>
          <cell r="M40">
            <v>440</v>
          </cell>
          <cell r="N40">
            <v>10</v>
          </cell>
          <cell r="O40">
            <v>0</v>
          </cell>
          <cell r="P40">
            <v>20</v>
          </cell>
          <cell r="Q40">
            <v>60</v>
          </cell>
          <cell r="R40">
            <v>0</v>
          </cell>
          <cell r="S40">
            <v>90</v>
          </cell>
          <cell r="Y40" t="str">
            <v>Hyper Beam, Giga Impact, Hidden Power, Secret Power, Nature Power, Bulldoze, Rock Slide, Bug Bite, Attract, Rest, Protect, Sunny Day, Rain Dance, Sandstorm, Fling, Recycle, Façade, Natural Gift, Round, Dig, Bounce, Rock Tomb, Smack Down, Laser Focus, Snatch, After You</v>
          </cell>
          <cell r="Z40" t="str">
            <v>Rock Polish, Energy Ball, Sludge Bomb, Foul Play, Strength, Earthquake, Earth Power, Power Gem, Signal Beam, Acrobatics, Gunk Shot, Seed Bomb, Substitute, Sleep Talk, Helping Hand, Stealth Rock, Return, Frustration, Last Resort, Gyro Ball, Superpower, Knock Off, Encore, Endure, Endeavor</v>
          </cell>
          <cell r="AA40" t="str">
            <v>Spikes</v>
          </cell>
          <cell r="AB40" t="str">
            <v>Pyro Ball</v>
          </cell>
          <cell r="AE40" t="str">
            <v>Bug &amp; Human-Like
1♂ : 1♀</v>
          </cell>
        </row>
        <row r="41">
          <cell r="G41">
            <v>45</v>
          </cell>
          <cell r="H41">
            <v>75</v>
          </cell>
          <cell r="I41">
            <v>55</v>
          </cell>
          <cell r="J41">
            <v>15</v>
          </cell>
          <cell r="K41">
            <v>30</v>
          </cell>
          <cell r="L41">
            <v>42</v>
          </cell>
          <cell r="M41">
            <v>262</v>
          </cell>
          <cell r="N41">
            <v>20</v>
          </cell>
          <cell r="O41">
            <v>10</v>
          </cell>
          <cell r="P41">
            <v>0</v>
          </cell>
          <cell r="Q41">
            <v>0</v>
          </cell>
          <cell r="R41">
            <v>0</v>
          </cell>
          <cell r="S41">
            <v>30</v>
          </cell>
          <cell r="Y41" t="str">
            <v>Hidden Power, Secret Power, Brick Break, Bug Bite, Screech, String Shot, Attract, Rest, Snore, Protect, Sunny Day, Rain Dance, Façade, Chip Away, Round, Infestation, Electroweb, Tantrum, Hone Claws</v>
          </cell>
          <cell r="Z41" t="str">
            <v>Swords Dance, X-Scissor, Signal Beam, Seed Bomb, Vital Drain, Substitute, Sleep Talk, Return, Frustration, Last Resort, Retaliate, Uproar, Outrage, Taunt, Torment, Endure, Super Fang</v>
          </cell>
          <cell r="AA41" t="str">
            <v>Fire Fang, Ice Fang, Rage Powder, Thunder Fang</v>
          </cell>
          <cell r="AB41" t="str">
            <v>Harden</v>
          </cell>
          <cell r="AE41" t="str">
            <v>Bug
1♂ : 1♀</v>
          </cell>
        </row>
        <row r="42">
          <cell r="G42">
            <v>85</v>
          </cell>
          <cell r="H42">
            <v>130</v>
          </cell>
          <cell r="I42">
            <v>85</v>
          </cell>
          <cell r="J42">
            <v>60</v>
          </cell>
          <cell r="K42">
            <v>60</v>
          </cell>
          <cell r="L42">
            <v>64</v>
          </cell>
          <cell r="M42">
            <v>484</v>
          </cell>
          <cell r="N42">
            <v>50</v>
          </cell>
          <cell r="O42">
            <v>0</v>
          </cell>
          <cell r="P42">
            <v>0</v>
          </cell>
          <cell r="Q42">
            <v>0</v>
          </cell>
          <cell r="R42">
            <v>0</v>
          </cell>
          <cell r="S42">
            <v>50</v>
          </cell>
          <cell r="Y42" t="str">
            <v>Hyper Beam, Giga Impact, Hidden Power, Secret Power, Brick Break, Bug Bite, Screech, String Shot, Attract, Rest, Snore, Protect, Sunny Day, Rain Dance, Façade, Chip Away, Round, Infestation, Electroweb, Tantrum, Hone Claws</v>
          </cell>
          <cell r="Z42" t="str">
            <v>Swords Dance, Strength, X-Scissor, Signal Beam, Seed Bomb, Vital Drain, Substitute, Sleep Talk, Return, Frustration, Last Resort, Retaliate, Uproar, Outrage, Taunt, Torment, Endure, Super Fang</v>
          </cell>
          <cell r="AB42" t="str">
            <v>Defend Order</v>
          </cell>
          <cell r="AE42" t="str">
            <v>Bug
1♂ : 1♀</v>
          </cell>
        </row>
        <row r="43">
          <cell r="G43">
            <v>80</v>
          </cell>
          <cell r="H43">
            <v>80</v>
          </cell>
          <cell r="I43">
            <v>80</v>
          </cell>
          <cell r="J43">
            <v>20</v>
          </cell>
          <cell r="K43">
            <v>40</v>
          </cell>
          <cell r="L43">
            <v>60</v>
          </cell>
          <cell r="M43">
            <v>360</v>
          </cell>
          <cell r="N43">
            <v>0</v>
          </cell>
          <cell r="O43">
            <v>0</v>
          </cell>
          <cell r="P43">
            <v>0</v>
          </cell>
          <cell r="Q43">
            <v>0</v>
          </cell>
          <cell r="R43">
            <v>30</v>
          </cell>
          <cell r="S43">
            <v>30</v>
          </cell>
          <cell r="Y43" t="str">
            <v>Hidden Power, Secret Power, Bulldoze, Rock Slide, Brick Break, Ice Punch, Thunder Punch, Fire Punch, Attract, Rest, Snore, Protect, Sunny Day, Rain Dance, Fling, Façade, Chip Away, Rock Climb, Round, Payback, Dig, Rock Tomb, Low Sweep, Rock Smash, Assurance, Tantrum, Smack Down, Dual Chop, Full Collide, After You, Block</v>
          </cell>
          <cell r="Z43" t="str">
            <v>Work Up, Bulk Up, Iron Defense, Rock Polish, Strength, Earthquake, Low Kick, Focus Blast, Iron Head, Zen Headbutt, Drain Punch, Substitute, Sleep Talk, Helping Hand, Return, Frustration, Last Resort, Retaliate, Uproar, Body Press, Superpower, Outrage, Ally Switch, Knock Off, Endure, Endeavor</v>
          </cell>
          <cell r="AA43" t="str">
            <v>Beat Up, Court Change, Final Gambit, Fissure, Heavy Slam, Rage, Revenge, Seismic Toss, Vital Throw</v>
          </cell>
          <cell r="AB43" t="str">
            <v>Feint</v>
          </cell>
          <cell r="AE43" t="str">
            <v>Field &amp; Human-Like
3♂ : 1♀</v>
          </cell>
        </row>
        <row r="44">
          <cell r="G44">
            <v>110</v>
          </cell>
          <cell r="H44">
            <v>110</v>
          </cell>
          <cell r="I44">
            <v>110</v>
          </cell>
          <cell r="J44">
            <v>30</v>
          </cell>
          <cell r="K44">
            <v>50</v>
          </cell>
          <cell r="L44">
            <v>70</v>
          </cell>
          <cell r="M44">
            <v>480</v>
          </cell>
          <cell r="N44">
            <v>0</v>
          </cell>
          <cell r="O44">
            <v>0</v>
          </cell>
          <cell r="P44">
            <v>0</v>
          </cell>
          <cell r="Q44">
            <v>0</v>
          </cell>
          <cell r="R44">
            <v>70</v>
          </cell>
          <cell r="S44">
            <v>70</v>
          </cell>
          <cell r="Y44" t="str">
            <v>Hyper Beam, Giga Impact, Hidden Power, Secret Power, Bulldoze, Rock Slide, Brick Break, Ice Punch, Thunder Punch, Fire Punch, Attract, Rest, Snore, Protect, Sunny Day, Rain Dance, Fling, Façade, Chip Away, Rock Climb, Round, Payback, Dig, Rock Tomb, Low Sweep, Rock Smash, Assurance, Tantrum, Smack Down, Dual Chop, Full Collide, After You, Block</v>
          </cell>
          <cell r="Z44" t="str">
            <v>Work Up, Bulk Up, Iron Defense, Rock Polish, Strength, Earthquake, Stone Edge, Low Kick, Focus Blast, Iron Head, Zen Headbutt, Drain Punch, Substitute, Sleep Talk, Helping Hand, Return, Frustration, Last Resort, Retaliate, Uproar, Body Press, Superpower, Outrage, Ally Switch, Knock Off, Endure, Endeavor</v>
          </cell>
          <cell r="AB44" t="str">
            <v>Feint</v>
          </cell>
          <cell r="AE44" t="str">
            <v>Field &amp; Human-Like
3♂ : 1♀</v>
          </cell>
        </row>
        <row r="45">
          <cell r="G45">
            <v>181</v>
          </cell>
          <cell r="H45">
            <v>101</v>
          </cell>
          <cell r="I45">
            <v>38</v>
          </cell>
          <cell r="J45">
            <v>81</v>
          </cell>
          <cell r="K45">
            <v>69</v>
          </cell>
          <cell r="L45">
            <v>61</v>
          </cell>
          <cell r="M45">
            <v>531</v>
          </cell>
          <cell r="N45">
            <v>0</v>
          </cell>
          <cell r="O45">
            <v>0</v>
          </cell>
          <cell r="P45">
            <v>0</v>
          </cell>
          <cell r="Q45">
            <v>40</v>
          </cell>
          <cell r="R45">
            <v>20</v>
          </cell>
          <cell r="S45">
            <v>60</v>
          </cell>
          <cell r="Y45" t="str">
            <v>Hyper Beam, Giga Impact, Hidden Power, Secret Power, Water Pulse, Bulldoze, Rock Slide, Smart Strike, Attract, Rest, Snore, Protect, Safeguard, Rain Dance, Hail, Façade, Round, Payback, Brine, Dive, Icy Wind, Tantrum, Gastro Acid, Block</v>
          </cell>
          <cell r="Z45" t="str">
            <v>Work Up, Bulk Up, Ice Beam, Blizzard, Thunderbolt, Thunder, Surf, Hydro Pump, Sludge Bomb, Sludge Wave, Strength, Earthquake, Iron Head, Waterfall, Aqua Tail, Gunk Shot, Zen Headbutt, Substitute, Sleep Talk, Return, Frustration, Last Resort, Retaliate, Uproar, Body Press, Scald, Superpower, Endure, Endeavor</v>
          </cell>
          <cell r="AA45" t="str">
            <v>Acid Armor, Heavy Slam, High Horsepower, Strength, Stomp, Water Spout</v>
          </cell>
          <cell r="AB45" t="str">
            <v>Mega Kick</v>
          </cell>
          <cell r="AE45" t="str">
            <v>Field
1♂ : 1♀</v>
          </cell>
        </row>
        <row r="46">
          <cell r="G46">
            <v>53</v>
          </cell>
          <cell r="H46">
            <v>73</v>
          </cell>
          <cell r="I46">
            <v>23</v>
          </cell>
          <cell r="J46">
            <v>43</v>
          </cell>
          <cell r="K46">
            <v>43</v>
          </cell>
          <cell r="L46">
            <v>33</v>
          </cell>
          <cell r="M46">
            <v>268</v>
          </cell>
          <cell r="N46">
            <v>10</v>
          </cell>
          <cell r="O46">
            <v>0</v>
          </cell>
          <cell r="P46">
            <v>0</v>
          </cell>
          <cell r="Q46">
            <v>10</v>
          </cell>
          <cell r="R46">
            <v>0</v>
          </cell>
          <cell r="S46">
            <v>20</v>
          </cell>
          <cell r="Y46" t="str">
            <v>Hidden Power, Secret Power, Bulldoze, Rock Slide, Brick Break, Ice Punch, Thunder Punch, Fire Punch, Attract, Rest, Snore, Protect, Sunny Day, Rain Dance, Façade, Chip Away, Rock Climb, Round, Payback, Rock Tomb, Rock Smash, Brutal Swing, Tantrum, Smack Down, Dual Chop</v>
          </cell>
          <cell r="Z46" t="str">
            <v>Work Up, Bulk Up, Strength, Low Kick, Poison Jab, Drain Punch, Substitute, Sleep Talk, Return, Frustration, Last Resort, Superpower, Trick, Knock Off, Endure, Endeavor</v>
          </cell>
          <cell r="AA46" t="str">
            <v>Double Hit, Double Slap, Mach Punch, Mega Punch, Mind Reader, Stored Power, Thrash, Wake-Up Slap</v>
          </cell>
          <cell r="AB46" t="str">
            <v>Quash</v>
          </cell>
          <cell r="AE46" t="str">
            <v>Human-Like
1♂ : 1♀</v>
          </cell>
        </row>
        <row r="47">
          <cell r="G47">
            <v>66</v>
          </cell>
          <cell r="H47">
            <v>106</v>
          </cell>
          <cell r="I47">
            <v>46</v>
          </cell>
          <cell r="J47">
            <v>76</v>
          </cell>
          <cell r="K47">
            <v>66</v>
          </cell>
          <cell r="L47">
            <v>46</v>
          </cell>
          <cell r="M47">
            <v>406</v>
          </cell>
          <cell r="N47">
            <v>30</v>
          </cell>
          <cell r="O47">
            <v>10</v>
          </cell>
          <cell r="P47">
            <v>0</v>
          </cell>
          <cell r="Q47">
            <v>20</v>
          </cell>
          <cell r="R47">
            <v>0</v>
          </cell>
          <cell r="S47">
            <v>60</v>
          </cell>
          <cell r="Y47" t="str">
            <v>Hidden Power, Secret Power, Thief, Bulldoze, Rock Slide, Brick Break, Ice Punch, Thunder Punch, Fire Punch, Attract, Rest, Snore, Protect, Sunny Day, Rain Dance, Façade, Chip Away, Rock Climb, Round, Payback, Rock Tomb, Rock Smash, Brutal Swing, Tantrum, Smack Down, Dual Chop, Psych Up, After You</v>
          </cell>
          <cell r="Z47" t="str">
            <v>Work Up, Bulk Up, Calm Mind, Amnesia, Psyshock, Strength, Earthquake, Low Kick, Focus Blast, Poison Jab, Drain Punch, Substitute, Sleep Talk, Helping Hand, Return, Frustration, Last Resort, Superpower, Trick, Knock Off, Endure, Endeavor</v>
          </cell>
          <cell r="AB47" t="str">
            <v>Quash</v>
          </cell>
          <cell r="AE47" t="str">
            <v>Human-Like
1♂ : 1♀</v>
          </cell>
        </row>
        <row r="48">
          <cell r="G48">
            <v>79</v>
          </cell>
          <cell r="H48">
            <v>149</v>
          </cell>
          <cell r="I48">
            <v>59</v>
          </cell>
          <cell r="J48">
            <v>99</v>
          </cell>
          <cell r="K48">
            <v>79</v>
          </cell>
          <cell r="L48">
            <v>69</v>
          </cell>
          <cell r="M48">
            <v>534</v>
          </cell>
          <cell r="N48">
            <v>60</v>
          </cell>
          <cell r="O48">
            <v>0</v>
          </cell>
          <cell r="P48">
            <v>0</v>
          </cell>
          <cell r="Q48">
            <v>20</v>
          </cell>
          <cell r="R48">
            <v>0</v>
          </cell>
          <cell r="S48">
            <v>80</v>
          </cell>
          <cell r="Y48" t="str">
            <v>Hyper Beam, Giga Impact, Hidden Power, Secret Power, Thief, Bulldoze, Rock Slide, Brick Break, Ice Punch, Thunder Punch, Fire Punch, Attract, Rest, Snore, Protect, Sunny Day, Rain Dance, Façade, Chip Away, Rock Climb, Round, Payback, Rock Tomb, Rock Smash, Brutal Swing, Tantrum, Smack Down, Dual Chop, Psych Up, After You</v>
          </cell>
          <cell r="Z48" t="str">
            <v>Work Up, Bulk Up, Calm Mind, Amnesia, Psyshock, Strength, Earthquake, Stone Edge, Low Kick, Focus Blast, Poison Jab, Drain Punch, Substitute, Sleep Talk, Helping Hand, Return, Frustration, Last Resort, Superpower, Trick, Knock Off, Endure, Endeavor</v>
          </cell>
          <cell r="AB48" t="str">
            <v>Quash</v>
          </cell>
          <cell r="AE48" t="str">
            <v>Human-Like
1♂ : 1♀</v>
          </cell>
        </row>
        <row r="49">
          <cell r="G49">
            <v>60</v>
          </cell>
          <cell r="H49">
            <v>60</v>
          </cell>
          <cell r="I49">
            <v>50</v>
          </cell>
          <cell r="J49">
            <v>60</v>
          </cell>
          <cell r="K49">
            <v>50</v>
          </cell>
          <cell r="L49">
            <v>50</v>
          </cell>
          <cell r="M49">
            <v>330</v>
          </cell>
          <cell r="N49">
            <v>0</v>
          </cell>
          <cell r="O49">
            <v>20</v>
          </cell>
          <cell r="P49">
            <v>40</v>
          </cell>
          <cell r="Q49">
            <v>0</v>
          </cell>
          <cell r="R49">
            <v>0</v>
          </cell>
          <cell r="S49">
            <v>60</v>
          </cell>
          <cell r="Y49" t="str">
            <v>Hidden Power, Secret Power, Nature Power, Frost Breath, Water Pulse, Bulldoze, Rock Slide, Charm, Attract, Rest, Snore, Protect, Safeguard, Sunny Day, Rain Dance, Hail, Façade, Round, Echoed Voice, Avalanche, Icy Wind</v>
          </cell>
          <cell r="Z49" t="str">
            <v>Ice Beam, Blizzard, Hyper Voice, Iron Head, Substitute, Sleep Talk, Return, Frustration, Last Resort, Retaliate, Endure, Endeavor</v>
          </cell>
          <cell r="AA49" t="str">
            <v>Captivate, Charm, Flail, Focus Energy, Helping Hand, Rock Climb, Sand Attack</v>
          </cell>
          <cell r="AB49" t="str">
            <v>Headbutt</v>
          </cell>
          <cell r="AE49" t="str">
            <v>Field
1♂ : 1♀</v>
          </cell>
        </row>
        <row r="50">
          <cell r="G50">
            <v>90</v>
          </cell>
          <cell r="H50">
            <v>80</v>
          </cell>
          <cell r="I50">
            <v>60</v>
          </cell>
          <cell r="J50">
            <v>120</v>
          </cell>
          <cell r="K50">
            <v>60</v>
          </cell>
          <cell r="L50">
            <v>110</v>
          </cell>
          <cell r="M50">
            <v>520</v>
          </cell>
          <cell r="N50">
            <v>30</v>
          </cell>
          <cell r="O50">
            <v>40</v>
          </cell>
          <cell r="P50">
            <v>0</v>
          </cell>
          <cell r="Q50">
            <v>0</v>
          </cell>
          <cell r="R50">
            <v>0</v>
          </cell>
          <cell r="S50">
            <v>70</v>
          </cell>
          <cell r="Y50" t="str">
            <v>Hyper Beam, Giga Impact, Hidden Power, Secret Power, Nature Power, Frost Breath, Water Pulse, Bulldoze, Rock Slide, Smart Strike, Charm, Attract, Rest, Snore, Protect, Safeguard, Sunny Day, Rain Dance, Hail, Façade, Round, Echoed Voice, Avalanche, Bounce, Icy Wind</v>
          </cell>
          <cell r="Z50" t="str">
            <v>Rock Polish, Ice Beam, Blizzard, Hyper Voice, Iron Head, Poison Jab, Substitute, Sleep Talk, Return, Frustration, Last Resort, Retaliate, Endure, Endeavor</v>
          </cell>
          <cell r="AB50" t="str">
            <v>Headbutt</v>
          </cell>
          <cell r="AE50" t="str">
            <v>Field
1♂ : 1♀</v>
          </cell>
        </row>
        <row r="51">
          <cell r="G51">
            <v>120</v>
          </cell>
          <cell r="H51">
            <v>90</v>
          </cell>
          <cell r="I51">
            <v>90</v>
          </cell>
          <cell r="J51">
            <v>80</v>
          </cell>
          <cell r="K51">
            <v>80</v>
          </cell>
          <cell r="L51">
            <v>60</v>
          </cell>
          <cell r="M51">
            <v>520</v>
          </cell>
          <cell r="N51">
            <v>0</v>
          </cell>
          <cell r="O51">
            <v>30</v>
          </cell>
          <cell r="P51">
            <v>0</v>
          </cell>
          <cell r="Q51">
            <v>0</v>
          </cell>
          <cell r="R51">
            <v>40</v>
          </cell>
          <cell r="S51">
            <v>70</v>
          </cell>
          <cell r="Y51" t="str">
            <v>Hyper Beam, Giga Impact, Hidden Power, Secret Power, Nature Power, Frost Breath, Water Pulse, Bulldoze, Rock Slide, Charm, Attract, Rest, Snore, Protect, Safeguard, Sunny Day, Rain Dance, Hail, Façade, Chip Away, Round, Echoed Voice, Avalanche, Rock Tomb, Icy Wind, Rock Smash, Tantrum, Block</v>
          </cell>
          <cell r="Z51" t="str">
            <v>Bulk Up, Ice Beam, Blizzard, Strength, Hyper Voice, Earthquake, Earth Power, Stone Edge, Iron Head, Zen Headbutt, Substitute, Sleep Talk, Return, Frustration, Last Resort, Retaliate, Uproar, Superpower, Endure, Endeavor</v>
          </cell>
          <cell r="AB51" t="str">
            <v>Headbutt</v>
          </cell>
          <cell r="AE51" t="str">
            <v>Field
1♂ : 1♀</v>
          </cell>
        </row>
        <row r="52">
          <cell r="G52">
            <v>45</v>
          </cell>
          <cell r="H52">
            <v>64</v>
          </cell>
          <cell r="I52">
            <v>22</v>
          </cell>
          <cell r="J52">
            <v>36</v>
          </cell>
          <cell r="K52">
            <v>28</v>
          </cell>
          <cell r="L52">
            <v>55</v>
          </cell>
          <cell r="M52">
            <v>250</v>
          </cell>
          <cell r="N52">
            <v>0</v>
          </cell>
          <cell r="O52">
            <v>0</v>
          </cell>
          <cell r="P52">
            <v>10</v>
          </cell>
          <cell r="Q52">
            <v>10</v>
          </cell>
          <cell r="R52">
            <v>0</v>
          </cell>
          <cell r="S52">
            <v>20</v>
          </cell>
          <cell r="Y52" t="str">
            <v>Hidden Power, Secret Power, Nature Power, Giga Drain, Venoshock, Bug Bite, String Shot, Toxic, Attract, Rest, Protect, Sunny Day, Rain Dance, Grassy Terrain, Recycle, Façade, Natural Gift, Round, Infestation, Dig, Electroweb, Gastro Acid</v>
          </cell>
          <cell r="Z52" t="str">
            <v>Grass Knot, Energy Ball, Signal Beam, Seed Bomb, Substitute, Sleep Talk, Return, Frustration, U-Turn, Endure</v>
          </cell>
          <cell r="AA52" t="str">
            <v>Acid Spray, First Impression, Gastro Acid, Minimize, Recover, Recycle</v>
          </cell>
          <cell r="AB52" t="str">
            <v>Slip Away</v>
          </cell>
          <cell r="AE52" t="str">
            <v>Amorphous &amp; Dragon
1♂ : 1♀</v>
          </cell>
        </row>
        <row r="53">
          <cell r="G53">
            <v>60</v>
          </cell>
          <cell r="H53">
            <v>116</v>
          </cell>
          <cell r="I53">
            <v>88</v>
          </cell>
          <cell r="J53">
            <v>84</v>
          </cell>
          <cell r="K53">
            <v>62</v>
          </cell>
          <cell r="L53">
            <v>90</v>
          </cell>
          <cell r="M53">
            <v>500</v>
          </cell>
          <cell r="N53">
            <v>40</v>
          </cell>
          <cell r="O53">
            <v>10</v>
          </cell>
          <cell r="P53">
            <v>0</v>
          </cell>
          <cell r="Q53">
            <v>0</v>
          </cell>
          <cell r="R53">
            <v>20</v>
          </cell>
          <cell r="S53">
            <v>70</v>
          </cell>
          <cell r="Y53" t="str">
            <v>Hyper Beam, Giga Impact, Hidden Power, Secret Power, Nature Power, Giga Drain, Venoshock, Bulldoze, Rock Slide, Bug Bite, Screech, String Shot, Toxic, Attract, Rest, Protect, Sunny Day, Rain Dance, Grassy Terrain, Recycle, Façade, Rock Climb, Natural Gift, Round, Infestation, Dig, Electroweb, Rock Smash, Assurance, Tantrum, Gastro Acid</v>
          </cell>
          <cell r="Z53" t="str">
            <v>Iron Defense, Grass Knot, Energy Ball, Strength, Earthquake, Earth Power, Stone Edge, Signal Beam, Dragon Pulse, Seed Bomb, Substitute, Sleep Talk, Stealth Rock, Return, Frustration, U-Turn, Solar Beam, Outrage, Roar, Endure</v>
          </cell>
          <cell r="AA53" t="str">
            <v>Draco Meteor</v>
          </cell>
          <cell r="AB53" t="str">
            <v>Clanging Scales</v>
          </cell>
          <cell r="AE53" t="str">
            <v>Amorphous &amp; Dragon
1♂ : 1♀</v>
          </cell>
        </row>
        <row r="54">
          <cell r="G54">
            <v>70</v>
          </cell>
          <cell r="H54">
            <v>40</v>
          </cell>
          <cell r="I54">
            <v>40</v>
          </cell>
          <cell r="J54">
            <v>69</v>
          </cell>
          <cell r="K54">
            <v>70</v>
          </cell>
          <cell r="L54">
            <v>60</v>
          </cell>
          <cell r="M54">
            <v>349</v>
          </cell>
          <cell r="N54">
            <v>0</v>
          </cell>
          <cell r="O54">
            <v>30</v>
          </cell>
          <cell r="P54">
            <v>40</v>
          </cell>
          <cell r="Q54">
            <v>0</v>
          </cell>
          <cell r="R54">
            <v>0</v>
          </cell>
          <cell r="S54">
            <v>70</v>
          </cell>
          <cell r="Y54" t="str">
            <v>Hidden Power, Secret Power, Nature Power, Giga Drain, Nightmare, Attract, Rest, Protect, Sunny Day, Rain Dance, Flash, Façade, Natural Gift, Round, Psych Up, After You</v>
          </cell>
          <cell r="Z54" t="str">
            <v>Calm Mind, Amnesia, Grass Knot, Energy Ball, Psychic, Shadow Ball, Dazzling Gleam, Signal Beam, Seed Bomb, Substitute, Synthesis, Dream Eater, Sleep Talk, Heal Bell, Return, Frustration, Solar Beam, Trick, Endure</v>
          </cell>
          <cell r="AA54" t="str">
            <v>Flower Shield, Grudge, Hypnosis, Ingrain, Natural Gift, Night Shade, Psybeam, Psycho Shift, Yawn</v>
          </cell>
          <cell r="AB54" t="str">
            <v>Spore</v>
          </cell>
          <cell r="AE54" t="str">
            <v>Grass
1♂ : 3♀</v>
          </cell>
        </row>
        <row r="55">
          <cell r="G55">
            <v>90</v>
          </cell>
          <cell r="H55">
            <v>50</v>
          </cell>
          <cell r="I55">
            <v>50</v>
          </cell>
          <cell r="J55">
            <v>99</v>
          </cell>
          <cell r="K55">
            <v>110</v>
          </cell>
          <cell r="L55">
            <v>80</v>
          </cell>
          <cell r="M55">
            <v>479</v>
          </cell>
          <cell r="N55">
            <v>0</v>
          </cell>
          <cell r="O55">
            <v>50</v>
          </cell>
          <cell r="P55">
            <v>40</v>
          </cell>
          <cell r="Q55">
            <v>0</v>
          </cell>
          <cell r="R55">
            <v>0</v>
          </cell>
          <cell r="S55">
            <v>90</v>
          </cell>
          <cell r="Y55" t="str">
            <v>Hyper Beam, Giga Impact, Hidden Power, Secret Power, Nature Power, Giga Drain, Nightmare, Attract, Rest, Protect, Sunny Day, Rain Dance, Flash, Façade, Natural Gift, Round, Psych Up, After You</v>
          </cell>
          <cell r="Z55" t="str">
            <v>Calm Mind, Amnesia, Grass Knot, Energy Ball, Psychic, Shadow Ball, Dazzling Gleam, Signal Beam, Seed Bomb, Substitute, Synthesis, Dream Eater, Sleep Talk, Heal Bell, Return, Frustration, Solar Beam, Trick, Endure</v>
          </cell>
          <cell r="AB55" t="str">
            <v>Spore</v>
          </cell>
          <cell r="AE55" t="str">
            <v>Grass
1♂ : 3♀</v>
          </cell>
        </row>
        <row r="56">
          <cell r="G56">
            <v>15</v>
          </cell>
          <cell r="H56">
            <v>60</v>
          </cell>
          <cell r="I56">
            <v>30</v>
          </cell>
          <cell r="J56">
            <v>45</v>
          </cell>
          <cell r="K56">
            <v>30</v>
          </cell>
          <cell r="L56">
            <v>81</v>
          </cell>
          <cell r="M56">
            <v>261</v>
          </cell>
          <cell r="N56">
            <v>0</v>
          </cell>
          <cell r="O56">
            <v>0</v>
          </cell>
          <cell r="P56">
            <v>20</v>
          </cell>
          <cell r="Q56">
            <v>0</v>
          </cell>
          <cell r="R56">
            <v>20</v>
          </cell>
          <cell r="S56">
            <v>40</v>
          </cell>
          <cell r="Y56" t="str">
            <v>Hidden Power, Secret Power, Attract, Rest, Protect, Sunny Day, Sandstorm, False Swipe, Façade, Round, Dig, Bounce, Rock Tomb, Snarl, Hone Claws</v>
          </cell>
          <cell r="Z56" t="str">
            <v>Substitute, Sleep Talk, Stealth Rock, Return, Frustration, Endure, Super Fang</v>
          </cell>
          <cell r="AA56" t="str">
            <v>Fire Fang, Poison Fang, Slash</v>
          </cell>
          <cell r="AB56" t="str">
            <v>Power Trip</v>
          </cell>
          <cell r="AE56" t="str">
            <v>Undiscovered
1♂ : 1♀</v>
          </cell>
        </row>
        <row r="57">
          <cell r="G57">
            <v>35</v>
          </cell>
          <cell r="H57">
            <v>70</v>
          </cell>
          <cell r="I57">
            <v>55</v>
          </cell>
          <cell r="J57">
            <v>55</v>
          </cell>
          <cell r="K57">
            <v>55</v>
          </cell>
          <cell r="L57">
            <v>101</v>
          </cell>
          <cell r="M57">
            <v>371</v>
          </cell>
          <cell r="N57">
            <v>10</v>
          </cell>
          <cell r="O57">
            <v>0</v>
          </cell>
          <cell r="P57">
            <v>0</v>
          </cell>
          <cell r="Q57">
            <v>0</v>
          </cell>
          <cell r="R57">
            <v>40</v>
          </cell>
          <cell r="S57">
            <v>50</v>
          </cell>
          <cell r="Y57" t="str">
            <v>Hidden Power, Secret Power, Shadow Claw, Attract, Rest, Protect, Sunny Day, Sandstorm, False Swipe, Façade, Chip Away, Rock Climb, Round, Payback, Dig, Bounce, Rock Tomb, Snarl, Rock Smash, Tantrum, Hone Claws</v>
          </cell>
          <cell r="Z57" t="str">
            <v>Work Up, Swords Dance, Substitute, Sleep Talk, Stealth Rock, Return, Frustration, Retaliate, Roar, Endure, Super Fang, Endeavor</v>
          </cell>
          <cell r="AB57" t="str">
            <v>Power Trip</v>
          </cell>
          <cell r="AE57" t="str">
            <v>Field
1♂ : 1♀</v>
          </cell>
        </row>
        <row r="58">
          <cell r="G58">
            <v>55</v>
          </cell>
          <cell r="H58">
            <v>100</v>
          </cell>
          <cell r="I58">
            <v>75</v>
          </cell>
          <cell r="J58">
            <v>65</v>
          </cell>
          <cell r="K58">
            <v>75</v>
          </cell>
          <cell r="L58">
            <v>131</v>
          </cell>
          <cell r="M58">
            <v>501</v>
          </cell>
          <cell r="N58">
            <v>40</v>
          </cell>
          <cell r="O58">
            <v>0</v>
          </cell>
          <cell r="P58">
            <v>0</v>
          </cell>
          <cell r="Q58">
            <v>0</v>
          </cell>
          <cell r="R58">
            <v>40</v>
          </cell>
          <cell r="S58">
            <v>80</v>
          </cell>
          <cell r="Y58" t="str">
            <v>Hyper Beam, Giga Impact, Hidden Power, Secret Power, Shadow Claw, Attract, Rest, Protect, Sunny Day, Sandstorm, False Swipe, Façade, Chip Away, Rock Climb, Round, Payback, Dig, Bounce, Rock Tomb, Snarl, Rock Smash, Tantrum, Hone Claws</v>
          </cell>
          <cell r="Z58" t="str">
            <v>Work Up, Swords Dance, Earthquake, Substitute, Sleep Talk, Stealth Rock, Return, Frustration, Retaliate, Roar, Endure, Super Fang, Endeavor</v>
          </cell>
          <cell r="AB58" t="str">
            <v>Power Trip</v>
          </cell>
          <cell r="AE58" t="str">
            <v>Field
1♂ : 1♀</v>
          </cell>
        </row>
        <row r="59">
          <cell r="G59">
            <v>58</v>
          </cell>
          <cell r="H59">
            <v>18</v>
          </cell>
          <cell r="I59">
            <v>38</v>
          </cell>
          <cell r="J59">
            <v>98</v>
          </cell>
          <cell r="K59">
            <v>58</v>
          </cell>
          <cell r="L59">
            <v>68</v>
          </cell>
          <cell r="M59">
            <v>338</v>
          </cell>
          <cell r="N59">
            <v>10</v>
          </cell>
          <cell r="O59">
            <v>0</v>
          </cell>
          <cell r="P59">
            <v>0</v>
          </cell>
          <cell r="Q59">
            <v>10</v>
          </cell>
          <cell r="R59">
            <v>0</v>
          </cell>
          <cell r="S59">
            <v>20</v>
          </cell>
          <cell r="Y59" t="str">
            <v>Hidden Power, Secret Power, Attract, Rest, Snore, Protect, Reflect, Light Screen, Safeguard, Sunny Day, Rain Dance, Façade, Chip Away, Round, Charge Beam, Compensation, Dual Chop, Laser Focus, Psych Up, After You</v>
          </cell>
          <cell r="Z59" t="str">
            <v>Work Up, Calm Mind, Nasty Plot, Amnesia, Hyper Voice, Dragon Pulse, Substitute, Sleep Talk, Helping Hand, Return, Frustration, Uproar, Outrage, Knock Off, Endure, Endeavor</v>
          </cell>
          <cell r="AA59" t="str">
            <v>Dragon Dance, Karate Chop, Refresh, Swift, Trump Card, Twister, Wake-Up Slap
Draco Meteor</v>
          </cell>
          <cell r="AB59" t="str">
            <v>Hold Back</v>
          </cell>
          <cell r="AE59" t="str">
            <v>Human-Like
1♂ : 1♀</v>
          </cell>
        </row>
        <row r="60">
          <cell r="G60">
            <v>72</v>
          </cell>
          <cell r="H60">
            <v>40</v>
          </cell>
          <cell r="I60">
            <v>48</v>
          </cell>
          <cell r="J60">
            <v>128</v>
          </cell>
          <cell r="K60">
            <v>88</v>
          </cell>
          <cell r="L60">
            <v>96</v>
          </cell>
          <cell r="M60">
            <v>472</v>
          </cell>
          <cell r="N60">
            <v>0</v>
          </cell>
          <cell r="O60">
            <v>30</v>
          </cell>
          <cell r="P60">
            <v>0</v>
          </cell>
          <cell r="Q60">
            <v>90</v>
          </cell>
          <cell r="R60">
            <v>0</v>
          </cell>
          <cell r="S60">
            <v>120</v>
          </cell>
          <cell r="Y60" t="str">
            <v>Hyper Beam, Hidden Power, Secret Power, Nature Power, Incinerate, Water Pulse, Giga Drain, Ice Punch, Thunder Punch, Fire Punch, Attract, Rest, Snore, Snore, Protect, Reflect, Light Screen, Safeguard, Sunny Day, Rain Dance, Trick Room, Wonder Room, Magic Room, Gravity, Flash, Façade, Chip Away, Nautral Gift, Round, Echoed Voice, Charge Beam, Drain Punch, Dual Chop, Laser Focus, Telekinesis, Magic Coat, Role Play, Psych Up, After You, Pain Split</v>
          </cell>
          <cell r="Z60" t="str">
            <v>Work Up, Calm Mind, Nasty Plot, Amnesia, Ice Beam, Thunderbolt, Flamethrower, Energy Ball, Psyshock, Psychic, Dark Pulse, Shadow Ball, Flash Cannon, Dazzling Gleam, Hyper Voice, Earth Power, Focus Blast, Signal Beam, Dragon Pulse, Zen Headbutt, Substitute, Dream Eater, Sleep Talk, Helping Hand, Heal Bell, Return, Frustration, Future Sight, Solar Beam, Skill Swap, Ally Switch, Endure, Endeavor</v>
          </cell>
          <cell r="AA60" t="str">
            <v>Draco Meteor</v>
          </cell>
          <cell r="AB60" t="str">
            <v>Hold Back</v>
          </cell>
          <cell r="AE60" t="str">
            <v>Human-Like
1♂ : 1♀</v>
          </cell>
        </row>
        <row r="61">
          <cell r="G61">
            <v>64</v>
          </cell>
          <cell r="H61">
            <v>44</v>
          </cell>
          <cell r="I61">
            <v>44</v>
          </cell>
          <cell r="J61">
            <v>84</v>
          </cell>
          <cell r="K61">
            <v>44</v>
          </cell>
          <cell r="L61">
            <v>74</v>
          </cell>
          <cell r="M61">
            <v>354</v>
          </cell>
          <cell r="N61">
            <v>0</v>
          </cell>
          <cell r="O61">
            <v>0</v>
          </cell>
          <cell r="P61">
            <v>10</v>
          </cell>
          <cell r="Q61">
            <v>20</v>
          </cell>
          <cell r="R61">
            <v>0</v>
          </cell>
          <cell r="S61">
            <v>30</v>
          </cell>
          <cell r="Y61" t="str">
            <v>Hidden Power, Secret Power, String Shot, Toxic, Nightmare, Attract, Rest, Snore, Protect, Sunny Day, Rain Dance, Misty Terrain, Flash, Façade, Round, Electroweb, Icy Wind, Snatch, Pain Split</v>
          </cell>
          <cell r="Z61" t="str">
            <v>Calm Mind, Nasty Plot, Psychic, Foul Play, Dark Pulse, Hex, Shadow Ball, Dazzling Gleam, Signal Beam, Substitute, Dream Eater, Sleep Talk, Return, Frustration, Trick, Torment, Worry Seed, Endure</v>
          </cell>
          <cell r="AA61" t="str">
            <v>Flatter, Memento, Nasty Plot, Quiver Dance, Sleep Powder, Stun Spore</v>
          </cell>
          <cell r="AB61" t="str">
            <v>Night Daze</v>
          </cell>
          <cell r="AE61" t="str">
            <v>Fairy
1♂ : 7♀</v>
          </cell>
        </row>
        <row r="62">
          <cell r="G62">
            <v>96</v>
          </cell>
          <cell r="H62">
            <v>66</v>
          </cell>
          <cell r="I62">
            <v>66</v>
          </cell>
          <cell r="J62">
            <v>116</v>
          </cell>
          <cell r="K62">
            <v>76</v>
          </cell>
          <cell r="L62">
            <v>106</v>
          </cell>
          <cell r="M62">
            <v>526</v>
          </cell>
          <cell r="N62">
            <v>0</v>
          </cell>
          <cell r="O62">
            <v>40</v>
          </cell>
          <cell r="P62">
            <v>20</v>
          </cell>
          <cell r="Q62">
            <v>20</v>
          </cell>
          <cell r="R62">
            <v>0</v>
          </cell>
          <cell r="S62">
            <v>80</v>
          </cell>
          <cell r="Y62" t="str">
            <v>Hidden Power, Secret Power, String Shot, Toxic, Nightmare, Attract, Rest, Snore, Protect, Sunny Day, Rain Dance, Misty Terrain, Flash, Façade, Round, Electroweb, Icy Wind, Compensation, Snatch, Pain Split</v>
          </cell>
          <cell r="Z62" t="str">
            <v>Calm Mind, Nasty Plot, Psychic, Foul Play, Dark Pulse, Hex, Shadow Ball, Dazzling Gleam, Signal Beam, Substitute, Dream Eater, Sleep Talk, Return, Frustration, Trick, Torment, Worry Seed, Endure</v>
          </cell>
          <cell r="AA62" t="str">
            <v>Bug Cloud, Silver Wind
Midnight</v>
          </cell>
          <cell r="AB62" t="str">
            <v>Night Daze</v>
          </cell>
          <cell r="AE62" t="str">
            <v>Fairy
1♂ : 7♀</v>
          </cell>
        </row>
        <row r="63">
          <cell r="G63">
            <v>50</v>
          </cell>
          <cell r="H63">
            <v>70</v>
          </cell>
          <cell r="I63">
            <v>40</v>
          </cell>
          <cell r="J63">
            <v>90</v>
          </cell>
          <cell r="K63">
            <v>60</v>
          </cell>
          <cell r="L63">
            <v>100</v>
          </cell>
          <cell r="M63">
            <v>410</v>
          </cell>
          <cell r="N63">
            <v>0</v>
          </cell>
          <cell r="O63">
            <v>40</v>
          </cell>
          <cell r="P63">
            <v>40</v>
          </cell>
          <cell r="Q63">
            <v>20</v>
          </cell>
          <cell r="R63">
            <v>0</v>
          </cell>
          <cell r="S63">
            <v>100</v>
          </cell>
          <cell r="Y63" t="str">
            <v>Hyper Beam, Giga Impact, Hidden Power, Secret Power, Nature Power, Giga Drain, Dragon Tail, Thunder Punch, Charm, Screech, Eerie Impulse, Fake Tears, Thunder Wave, Attract, Rest, Snore, Protect, Sunny Day, Rain Dance, Flash, Recycle, Façade, Natural Gift, Round, Dig, Charge Beam, Low Sweep, Electroweb, Hone Claws, Magnet Rise, Magic Coat</v>
          </cell>
          <cell r="Z63" t="str">
            <v>Thunderbolt, Thunder, Energy Ball, Hyper Voice, Signal Beam, Acrobatics, Iron Tail, Aqua Tail, Wild Charge, Seed Bomb, Substitute, Synthesis, Sleep Talk, Helping Hand, Return, Frustration, Last Resort, Uproar, Volt Switch, Electro Ball, Solar Beam, Knock Off, Worry Seed, Endure, Super Fang</v>
          </cell>
          <cell r="AA63" t="str">
            <v>Grass Whistle, Follow Me, Leaf Blade, Leaf Storm, Spotlight, Tail Slap</v>
          </cell>
          <cell r="AB63" t="str">
            <v>Needle Arm</v>
          </cell>
          <cell r="AE63" t="str">
            <v>Field, Grass
1♂ : 1♀</v>
          </cell>
        </row>
        <row r="64">
          <cell r="G64">
            <v>100</v>
          </cell>
          <cell r="H64">
            <v>25</v>
          </cell>
          <cell r="I64">
            <v>50</v>
          </cell>
          <cell r="J64">
            <v>75</v>
          </cell>
          <cell r="K64">
            <v>175</v>
          </cell>
          <cell r="L64">
            <v>25</v>
          </cell>
          <cell r="M64">
            <v>450</v>
          </cell>
          <cell r="N64">
            <v>0</v>
          </cell>
          <cell r="O64">
            <v>0</v>
          </cell>
          <cell r="P64">
            <v>0</v>
          </cell>
          <cell r="Q64">
            <v>0</v>
          </cell>
          <cell r="R64">
            <v>0</v>
          </cell>
          <cell r="S64">
            <v>0</v>
          </cell>
          <cell r="Y64" t="str">
            <v>Hidden Power, Secret Power, Water Pulse, Giga Drain, Venoshock, Toxic, Rest, Protect, Safeguard, Rain Dance, Façade, Brine, Whirlpool, Infestation, Gastro Acid, Pain Split</v>
          </cell>
          <cell r="Z64" t="str">
            <v>Amnesia, Hydro Pump, Sludge Bomb, Sludge Wave, Gunk Shot, Vital Drain, Substitute, Return, Frustration, Endure</v>
          </cell>
          <cell r="AA64" t="str">
            <v>None</v>
          </cell>
          <cell r="AB64" t="str">
            <v>Venom Drench</v>
          </cell>
          <cell r="AE64" t="str">
            <v>Amorphous
Genderless</v>
          </cell>
        </row>
        <row r="65">
          <cell r="G65">
            <v>40</v>
          </cell>
          <cell r="H65">
            <v>65</v>
          </cell>
          <cell r="I65">
            <v>60</v>
          </cell>
          <cell r="J65">
            <v>50</v>
          </cell>
          <cell r="K65">
            <v>40</v>
          </cell>
          <cell r="L65">
            <v>45</v>
          </cell>
          <cell r="M65">
            <v>300</v>
          </cell>
          <cell r="N65">
            <v>20</v>
          </cell>
          <cell r="O65">
            <v>0</v>
          </cell>
          <cell r="P65">
            <v>0</v>
          </cell>
          <cell r="Q65">
            <v>0</v>
          </cell>
          <cell r="R65">
            <v>10</v>
          </cell>
          <cell r="S65">
            <v>30</v>
          </cell>
          <cell r="Y65" t="str">
            <v>Hidden Power, Secret Power, Water Pulse, Thief, Shadow Claw, Nightmare, Attract, Rest, Snore, Protect, Sunny Day, Rain Dance, Embargo, False Swipe, Façade, Round, Payback, Brine, Whirlpool, Dive, Icy Wind, Rock Smash, Assurance, Brutal Swing, Compensation, Hone Claws, Snatch, Block</v>
          </cell>
          <cell r="Z65" t="str">
            <v>Nasty Plot, Surf, Foul Play, Dark Pulse, X-Scissor, Substitute, Sleep Talk, Return, Frustration, Retaliate, U-Turn, Scald, Knock Off, Taunt, Torment, Endure, Endeavor</v>
          </cell>
          <cell r="AA65" t="str">
            <v>Aqua Jet, Flatter, Liquidation, Night Slash, Octazooka, Razor Shell, Snatch, Thrash</v>
          </cell>
          <cell r="AB65" t="str">
            <v>Anchor Shot</v>
          </cell>
          <cell r="AE65" t="str">
            <v>Water 2 &amp; Water 3
1♂ : 1♀</v>
          </cell>
        </row>
        <row r="66">
          <cell r="G66">
            <v>55</v>
          </cell>
          <cell r="H66">
            <v>75</v>
          </cell>
          <cell r="I66">
            <v>105</v>
          </cell>
          <cell r="J66">
            <v>60</v>
          </cell>
          <cell r="K66">
            <v>80</v>
          </cell>
          <cell r="L66">
            <v>45</v>
          </cell>
          <cell r="M66">
            <v>420</v>
          </cell>
          <cell r="N66">
            <v>30</v>
          </cell>
          <cell r="O66">
            <v>0</v>
          </cell>
          <cell r="P66">
            <v>0</v>
          </cell>
          <cell r="Q66">
            <v>0</v>
          </cell>
          <cell r="R66">
            <v>50</v>
          </cell>
          <cell r="S66">
            <v>80</v>
          </cell>
          <cell r="Y66" t="str">
            <v>Hidden Power, Secret Power, Water Pulse, Thief, Shadow Claw, Nightmare, Attract, Rest, Snore, Protect, Sunny Day, Rain Dance, Embargo, False Swipe, Façade, Round, Payback, Brine, Whirlpool, Dive, Icy Wind, Rock Smash, Assurance, Brutal Swing, Compensation, Full Collide, Hone Claws, Snatch, Block</v>
          </cell>
          <cell r="Z66" t="str">
            <v>Iron Defense, Nasty Plot, Surf, Foul Play, Dark Pulse, Flash Cannon, X-Scissor, Iron Head, Substitute, Sleep Talk, Return, Frustration, Retaliate, U-Turn, Scald, Knock Off, Taunt, Torment, Endure, Endeavor</v>
          </cell>
          <cell r="AA66" t="str">
            <v>Camouflage
Steel Beam</v>
          </cell>
          <cell r="AB66" t="str">
            <v>Anchor Shot</v>
          </cell>
          <cell r="AE66" t="str">
            <v>Water 2 &amp; Water 3
1♂ : 1♀</v>
          </cell>
        </row>
        <row r="67">
          <cell r="G67">
            <v>90</v>
          </cell>
          <cell r="H67">
            <v>110</v>
          </cell>
          <cell r="I67">
            <v>130</v>
          </cell>
          <cell r="J67">
            <v>90</v>
          </cell>
          <cell r="K67">
            <v>120</v>
          </cell>
          <cell r="L67">
            <v>60</v>
          </cell>
          <cell r="M67">
            <v>600</v>
          </cell>
          <cell r="N67">
            <v>50</v>
          </cell>
          <cell r="O67">
            <v>0</v>
          </cell>
          <cell r="P67">
            <v>0</v>
          </cell>
          <cell r="Q67">
            <v>0</v>
          </cell>
          <cell r="R67">
            <v>70</v>
          </cell>
          <cell r="S67">
            <v>120</v>
          </cell>
          <cell r="Y67" t="str">
            <v>Hyper Beam, Giga Impact, Hidden Power, Secret Power, Water Pulse, Thief, Shadow Claw, Nightmare, Attract, Rest, Snore, Protect, Sunny Day, Rain Dance, Embargo, False Swipe, Façade, Round, Payback, Brine, Whirlpool, Dive, Icy Wind, Rock Smash, Assurance, Brutal Swing, Compensation, Full Collide, Hone Claws, Snatch, Block</v>
          </cell>
          <cell r="Z67" t="str">
            <v>Iron Defense, Nasty Plot, Surf, Foul Play, Dark Pulse, Flash Cannon, X-Scissor, Iron Head, Substitute, Sleep Talk, Return, Frustration, Retaliate, U-Turn, Scald, Outrage, Knock Off, Taunt, Torment, Endure, Endeavor</v>
          </cell>
          <cell r="AA67" t="str">
            <v>Spike Cannon
Steel Beam</v>
          </cell>
          <cell r="AB67" t="str">
            <v>Anchor Shot</v>
          </cell>
          <cell r="AE67" t="str">
            <v>Water 2 &amp; Water 3
1♂ : 1♀</v>
          </cell>
        </row>
        <row r="68">
          <cell r="G68">
            <v>100</v>
          </cell>
          <cell r="H68">
            <v>50</v>
          </cell>
          <cell r="I68">
            <v>60</v>
          </cell>
          <cell r="J68">
            <v>75</v>
          </cell>
          <cell r="K68">
            <v>60</v>
          </cell>
          <cell r="L68">
            <v>95</v>
          </cell>
          <cell r="M68">
            <v>440</v>
          </cell>
          <cell r="N68">
            <v>10</v>
          </cell>
          <cell r="O68">
            <v>10</v>
          </cell>
          <cell r="P68">
            <v>20</v>
          </cell>
          <cell r="Q68">
            <v>0</v>
          </cell>
          <cell r="R68">
            <v>0</v>
          </cell>
          <cell r="S68">
            <v>40</v>
          </cell>
          <cell r="Y68" t="str">
            <v>Hyper Beam, Giga Impact, Hidden Power, Secret Power, Frost Breath, Water Pulse, Thief, Aerial Ace, Attract, Rest, Snore, Protect, Safeguard, Rain Dance, Hail, Fling, Façade, Round, Avalanche, Brine, Fly, Icy Wind</v>
          </cell>
          <cell r="Z68" t="str">
            <v>Swords Dance, Ice Beam, Blizzard, Acrobatics, Hurricane, Gunk Shot, Seed Bomb, Aurora Veil, Substitute, Roost, Sleep Talk, Return, Frustration, Uproar, Steel Wing, U-Turn, Sky Attack, Knock Off, Endure</v>
          </cell>
          <cell r="AA68" t="str">
            <v>Air Cutter, Air Slash, Pursuit, Quick Attack</v>
          </cell>
          <cell r="AB68" t="str">
            <v>Brave Bird</v>
          </cell>
          <cell r="AC68" t="str">
            <v>3'11"
.93 m</v>
          </cell>
          <cell r="AD68" t="str">
            <v>41.8 lbs
19 kg</v>
          </cell>
          <cell r="AE68" t="str">
            <v>Water 1 &amp; Flying
1♂ : 1♀</v>
          </cell>
        </row>
        <row r="69">
          <cell r="G69">
            <v>72</v>
          </cell>
          <cell r="H69">
            <v>120</v>
          </cell>
          <cell r="I69">
            <v>95</v>
          </cell>
          <cell r="J69">
            <v>58</v>
          </cell>
          <cell r="K69">
            <v>62</v>
          </cell>
          <cell r="L69">
            <v>100</v>
          </cell>
          <cell r="M69">
            <v>507</v>
          </cell>
          <cell r="N69">
            <v>70</v>
          </cell>
          <cell r="O69">
            <v>0</v>
          </cell>
          <cell r="P69">
            <v>0</v>
          </cell>
          <cell r="Q69">
            <v>10</v>
          </cell>
          <cell r="R69">
            <v>30</v>
          </cell>
          <cell r="S69">
            <v>110</v>
          </cell>
          <cell r="Y69" t="str">
            <v>Hyper Beam, Giga Impact, Hidden Power, Secret Power, Aerial Ace, Attract, Rest, Snore, Protect, Sunny Day, Rain Dance, False Swipe, Façade, Chip Away, Round, Fly, Laser Focus, Psych Up, Block</v>
          </cell>
          <cell r="Z69" t="str">
            <v>Work Up, Swords Dance, Acrobatics, Poison Jab, Defog, Tailwind, Substitute, Roost, Sleep Talk, Helping Hand, Return, Frustration, Last Resort, Retaliate, Uproar, Steel Wing, U-Turn, Heat Wave, Sky Attack, Knock Off, Endure, Endeavor</v>
          </cell>
          <cell r="AA69" t="str">
            <v>Sand Attack</v>
          </cell>
          <cell r="AB69" t="str">
            <v>Sacred Sword</v>
          </cell>
          <cell r="AE69" t="str">
            <v>Flying
1♂ : 1♀</v>
          </cell>
        </row>
        <row r="70">
          <cell r="G70">
            <v>70</v>
          </cell>
          <cell r="H70">
            <v>112</v>
          </cell>
          <cell r="I70">
            <v>95</v>
          </cell>
          <cell r="J70">
            <v>80</v>
          </cell>
          <cell r="K70">
            <v>65</v>
          </cell>
          <cell r="L70">
            <v>108</v>
          </cell>
          <cell r="M70">
            <v>530</v>
          </cell>
          <cell r="N70">
            <v>30</v>
          </cell>
          <cell r="O70">
            <v>0</v>
          </cell>
          <cell r="P70">
            <v>0</v>
          </cell>
          <cell r="Q70">
            <v>0</v>
          </cell>
          <cell r="R70">
            <v>50</v>
          </cell>
          <cell r="S70">
            <v>80</v>
          </cell>
          <cell r="Y70" t="str">
            <v>Hyper Beam, Giga Impact, Hidden Power, Secret Power, Thief, Brick Break, Ice Punch, Attract, Rest, Snore, Protect, Hail, Embargo, Façade, Chip Away, Round, Payback, Brine, Whirlpool, Dive, Bounce, Icy Wind, Rock Smash, Compensation, Dual Chop</v>
          </cell>
          <cell r="Z70" t="str">
            <v>Bulk Up, Ice Beam, Surf, Hydro Pump, Strength, Focus Blast, Waterfall, Aqua Tail, Zen Headbutt, Drain Punch, Substitute, Sleep Talk, Return, Frustration, Uproar, Scald, Superpower, Taunt, Quash, Endure, Endeavor</v>
          </cell>
          <cell r="AB70" t="str">
            <v>Glare</v>
          </cell>
          <cell r="AE70" t="str">
            <v>Water 2
1♂ : 1♀</v>
          </cell>
        </row>
        <row r="71">
          <cell r="G71">
            <v>70</v>
          </cell>
          <cell r="H71">
            <v>112</v>
          </cell>
          <cell r="I71">
            <v>95</v>
          </cell>
          <cell r="J71">
            <v>80</v>
          </cell>
          <cell r="K71">
            <v>65</v>
          </cell>
          <cell r="L71">
            <v>108</v>
          </cell>
          <cell r="M71">
            <v>530</v>
          </cell>
          <cell r="N71">
            <v>40</v>
          </cell>
          <cell r="O71">
            <v>0</v>
          </cell>
          <cell r="P71">
            <v>0</v>
          </cell>
          <cell r="Q71">
            <v>20</v>
          </cell>
          <cell r="R71">
            <v>20</v>
          </cell>
          <cell r="S71">
            <v>80</v>
          </cell>
          <cell r="Y71" t="str">
            <v>Hyper Beam, Giga Impact, Hidden Power, Secret Power, Thief, Aerial Ace, Attract, Rest, Snore, Protect, Hail, Embargo, False Swipe, Façade, Chip Away, Round, Payback, Brine, Whirlpool, Bounce, Icy Wind, Compensation, Hone Claws</v>
          </cell>
          <cell r="Z71" t="str">
            <v>Swords Dance, Ice Beam, Surf, Hydro Pump, Flash Cannon, Iron Head, Iron Tail, Waterfall, Zen Headbutt, Substitute, Sleep Talk, Return, Frustration, Uproar, Scald, Superpower, Taunt, Quash, Endure, Endeavor</v>
          </cell>
          <cell r="AA71" t="str">
            <v>Steel Beam</v>
          </cell>
          <cell r="AB71" t="str">
            <v>Glare</v>
          </cell>
          <cell r="AE71" t="str">
            <v>Water 2
1♂ : 1♀</v>
          </cell>
        </row>
        <row r="72">
          <cell r="G72">
            <v>100</v>
          </cell>
          <cell r="H72">
            <v>60</v>
          </cell>
          <cell r="I72">
            <v>120</v>
          </cell>
          <cell r="J72">
            <v>60</v>
          </cell>
          <cell r="K72">
            <v>120</v>
          </cell>
          <cell r="L72">
            <v>80</v>
          </cell>
          <cell r="M72">
            <v>540</v>
          </cell>
          <cell r="N72">
            <v>30</v>
          </cell>
          <cell r="O72">
            <v>40</v>
          </cell>
          <cell r="P72">
            <v>0</v>
          </cell>
          <cell r="Q72">
            <v>10</v>
          </cell>
          <cell r="R72">
            <v>40</v>
          </cell>
          <cell r="S72">
            <v>120</v>
          </cell>
          <cell r="Y72" t="str">
            <v>Hyper Beam, Giga Impact, Hidden Power, Secret Power, Rock Slide, Bulldoze, Rest, Protect, Reflect, Light Screen, Safeguard, Sandstorm, Gravity, Flash, Façade, Round, Charge Beam, Full Collide, Magnet Rise, Telekinesis</v>
          </cell>
          <cell r="Z72" t="str">
            <v>Calm Mind, Rock Polish, Psychic, Dazzling Gleam, Earthquake, Stone Edge, Power Gem, Acrobatics, Iron Head, Zen Headbutt, Substitute, Sleep Talk, Stealth Rock, Return, Frustration, Last Resort, U-Turn, Gyro Ball, Solar Beam, Explosion, Superpower, Endure, Endeavor</v>
          </cell>
          <cell r="AA72" t="str">
            <v>Meteor Beam</v>
          </cell>
          <cell r="AB72" t="str">
            <v>Accelerock</v>
          </cell>
          <cell r="AE72" t="str">
            <v>Mineral
Genderless</v>
          </cell>
        </row>
        <row r="73">
          <cell r="G73">
            <v>100</v>
          </cell>
          <cell r="H73">
            <v>120</v>
          </cell>
          <cell r="I73">
            <v>60</v>
          </cell>
          <cell r="J73">
            <v>120</v>
          </cell>
          <cell r="K73">
            <v>60</v>
          </cell>
          <cell r="L73">
            <v>140</v>
          </cell>
          <cell r="M73">
            <v>600</v>
          </cell>
          <cell r="Y73" t="str">
            <v>Hyper Beam, Giga Impact, Hidden Power, Secret Power, Rock Slide, Bulldoze, Rest, Protect, Reflect, Light Screen, Safeguard, Sandstorm, Gravity, Flash, Façade, Round, Charge Beam, Full Collide, Magnet Rise, Telekinesis</v>
          </cell>
          <cell r="Z73" t="str">
            <v>Calm Mind, Rock Polish, Psychic, Dazzling Gleam, Earthquake, Stone Edge, Power Gem, Acrobatics, Iron Head, Zen Headbutt, Substitute, Sleep Talk, Stealth Rock, Return, Frustration, Last Resort, U-Turn, Gyro Ball, Solar Beam, Explosion, Superpower, Endure, Endeavor</v>
          </cell>
          <cell r="AA73" t="str">
            <v>N/A</v>
          </cell>
          <cell r="AB73" t="str">
            <v>Accelerock</v>
          </cell>
          <cell r="AE73" t="str">
            <v>Mineral
Genderless</v>
          </cell>
        </row>
        <row r="74">
          <cell r="G74">
            <v>35</v>
          </cell>
          <cell r="H74">
            <v>75</v>
          </cell>
          <cell r="I74">
            <v>60</v>
          </cell>
          <cell r="J74">
            <v>65</v>
          </cell>
          <cell r="K74">
            <v>60</v>
          </cell>
          <cell r="L74">
            <v>80</v>
          </cell>
          <cell r="M74">
            <v>375</v>
          </cell>
          <cell r="Y74" t="str">
            <v>Charge Beam, Thunder Wave</v>
          </cell>
          <cell r="Z74" t="str">
            <v>N/A</v>
          </cell>
          <cell r="AA74" t="str">
            <v>N/A</v>
          </cell>
          <cell r="AB74" t="str">
            <v>N/A</v>
          </cell>
          <cell r="AE74" t="str">
            <v>Amorphous
1♂ : 1♀</v>
          </cell>
        </row>
        <row r="75">
          <cell r="G75">
            <v>65</v>
          </cell>
          <cell r="H75">
            <v>85</v>
          </cell>
          <cell r="I75">
            <v>70</v>
          </cell>
          <cell r="J75">
            <v>75</v>
          </cell>
          <cell r="K75">
            <v>70</v>
          </cell>
          <cell r="L75">
            <v>40</v>
          </cell>
          <cell r="M75">
            <v>405</v>
          </cell>
          <cell r="N75">
            <v>10</v>
          </cell>
          <cell r="O75">
            <v>0</v>
          </cell>
          <cell r="P75">
            <v>10</v>
          </cell>
          <cell r="Q75">
            <v>30</v>
          </cell>
          <cell r="R75">
            <v>0</v>
          </cell>
          <cell r="S75">
            <v>50</v>
          </cell>
          <cell r="Y75" t="str">
            <v>Hidden Power, Secret Power, Thunder Wave, Toxic, Attract, Rest, Protect, Light Screen, Rain Dance, Flash, Façade, Round, Brine, Charge Beam</v>
          </cell>
          <cell r="Z75" t="str">
            <v>Thunderbolt, Thunder, Sludge Bomb, Sludge Wave, Flash Cannon, Acrobatics, Wild Charge, Substitute, Sleep Talk, Return, Frustration, U-Turn, Volt Switch, Endure</v>
          </cell>
          <cell r="AA75" t="str">
            <v>N/A</v>
          </cell>
          <cell r="AB75" t="str">
            <v>Poison Fang</v>
          </cell>
          <cell r="AE75" t="str">
            <v>Amorphous
1♂ : 1♀</v>
          </cell>
        </row>
        <row r="76">
          <cell r="G76">
            <v>85</v>
          </cell>
          <cell r="H76">
            <v>115</v>
          </cell>
          <cell r="I76">
            <v>80</v>
          </cell>
          <cell r="J76">
            <v>105</v>
          </cell>
          <cell r="K76">
            <v>80</v>
          </cell>
          <cell r="L76">
            <v>50</v>
          </cell>
          <cell r="M76">
            <v>515</v>
          </cell>
          <cell r="N76">
            <v>20</v>
          </cell>
          <cell r="O76">
            <v>0</v>
          </cell>
          <cell r="P76">
            <v>10</v>
          </cell>
          <cell r="Q76">
            <v>30</v>
          </cell>
          <cell r="R76">
            <v>0</v>
          </cell>
          <cell r="S76">
            <v>60</v>
          </cell>
          <cell r="Y76" t="str">
            <v>Hyper Beam, Giga Impact, Hidden Power, Secret Power, Rock Slide, Brick Break, Dragon Tail, Thunder Wave, Toxic, Attract, Rest, Protect, Light Screen, Rain Dance, Flash, Façade, Round, Brine, Dive, Charge Beam, Rock Tomb, Rock Smash</v>
          </cell>
          <cell r="Z76" t="str">
            <v>Thunderbolt, Thunder, Flamethrower, Surf, Grass Knot, Sludge Bomb, Sludge Wave, Flash Cannon, Acrobatics, Dragon Claw, Wild Charge, Substitute, Sleep Talk, Return, Frustration, U-Turn, Volt Switch, Endure</v>
          </cell>
          <cell r="AA76" t="str">
            <v>N/A</v>
          </cell>
          <cell r="AB76" t="str">
            <v>Poison Fang</v>
          </cell>
          <cell r="AE76" t="str">
            <v>Amorphous
1♂ : 1♀</v>
          </cell>
        </row>
        <row r="77">
          <cell r="G77">
            <v>60</v>
          </cell>
          <cell r="H77">
            <v>30</v>
          </cell>
          <cell r="I77">
            <v>30</v>
          </cell>
          <cell r="J77">
            <v>36</v>
          </cell>
          <cell r="K77">
            <v>56</v>
          </cell>
          <cell r="L77">
            <v>50</v>
          </cell>
          <cell r="M77">
            <v>262</v>
          </cell>
          <cell r="N77">
            <v>0</v>
          </cell>
          <cell r="O77">
            <v>0</v>
          </cell>
          <cell r="P77">
            <v>0</v>
          </cell>
          <cell r="Q77">
            <v>30</v>
          </cell>
          <cell r="R77">
            <v>0</v>
          </cell>
          <cell r="S77">
            <v>30</v>
          </cell>
          <cell r="Y77" t="str">
            <v>Hidden Power, Secret Power, Thief, Aerial Ace, Nightmare, Attract, Rest, Protect, Reflect, Sunny Day, Rain Dance, Recycle, Façade, Fly, Laser Focus, Magic Coat, Snatch, Psych Up</v>
          </cell>
          <cell r="Z77" t="str">
            <v>Nasty Plot, Psychic, Foul Play, Dark Pulse, Shadow Ball, Zen Headbutt, Defog, Tailwind, Substitute, Roost, Dream Eater, Return, Frustration, Future Sight, Steel Wing, Heat Wave, Sky Attack, Knock Off, Endure</v>
          </cell>
          <cell r="AA77" t="str">
            <v>Agility, Defog, Feather Dance, Feint Attack, Mean Look, Memento, Mirror Move, Night Shade, Sky Attack, Memento, Whirlwind, Wing Attack</v>
          </cell>
          <cell r="AB77" t="str">
            <v>Imprison</v>
          </cell>
          <cell r="AC77" t="str">
            <v>2'04"
.7 m</v>
          </cell>
          <cell r="AD77" t="str">
            <v>47.2 lbs
21.4 kg</v>
          </cell>
          <cell r="AE77" t="str">
            <v>Flying
1♂ : 1♀</v>
          </cell>
        </row>
        <row r="78">
          <cell r="G78">
            <v>100</v>
          </cell>
          <cell r="H78">
            <v>50</v>
          </cell>
          <cell r="I78">
            <v>50</v>
          </cell>
          <cell r="J78">
            <v>86</v>
          </cell>
          <cell r="K78">
            <v>96</v>
          </cell>
          <cell r="L78">
            <v>70</v>
          </cell>
          <cell r="M78">
            <v>452</v>
          </cell>
          <cell r="N78">
            <v>0</v>
          </cell>
          <cell r="O78">
            <v>0</v>
          </cell>
          <cell r="P78">
            <v>0</v>
          </cell>
          <cell r="Q78">
            <v>60</v>
          </cell>
          <cell r="R78">
            <v>10</v>
          </cell>
          <cell r="S78">
            <v>70</v>
          </cell>
          <cell r="Y78" t="str">
            <v>Hyper Beam, Giga Impact, Hidden Power, Secret Power, Thief, Aerial Ace, Nightmare, Attract, Rest, Protect, Reflect, Sunny Day, Rain Dance, Recycle, Façade, Fly, Phantom Force, Laser Focus, Magic Coat, Snatch, Psych Up</v>
          </cell>
          <cell r="Z78" t="str">
            <v>Nasty Plot, Psychic, Foul Play, Dark Pulse, Shadow Ball, Hurricane, Zen Headbutt, Defog, Tailwind, Substitute, Roost, Dream Eater, Return, Frustration, Future Sight, Steel Wing, Heat Wave, Sky Attack, Knock Off, Endure</v>
          </cell>
          <cell r="AA78" t="str">
            <v>Midnight</v>
          </cell>
          <cell r="AB78" t="str">
            <v>Imprison</v>
          </cell>
          <cell r="AC78" t="str">
            <v>5'03"
1.6 m</v>
          </cell>
          <cell r="AD78" t="str">
            <v>91.3 lbs
41.4 kg</v>
          </cell>
          <cell r="AE78" t="str">
            <v>Flying
1♂ : 1♀</v>
          </cell>
        </row>
        <row r="79">
          <cell r="G79">
            <v>75</v>
          </cell>
          <cell r="H79">
            <v>100</v>
          </cell>
          <cell r="I79">
            <v>95</v>
          </cell>
          <cell r="J79">
            <v>40</v>
          </cell>
          <cell r="K79">
            <v>70</v>
          </cell>
          <cell r="L79">
            <v>110</v>
          </cell>
          <cell r="M79">
            <v>490</v>
          </cell>
          <cell r="N79">
            <v>30</v>
          </cell>
          <cell r="O79">
            <v>30</v>
          </cell>
          <cell r="P79">
            <v>0</v>
          </cell>
          <cell r="Q79">
            <v>0</v>
          </cell>
          <cell r="R79">
            <v>10</v>
          </cell>
          <cell r="S79">
            <v>70</v>
          </cell>
          <cell r="Y79" t="str">
            <v>Hyper Beam, Giga Impact, Hidden Power, Secret Power, Bulldoze, Rock Slide, Smart Strike, Screech, Will-O-Wisp, Attract, Rest, Snore, Protect, Sunny Day, Flash, Façade, Chip Away, Rock Climb, Round, Payback, Rock Tomb, Rock Smash, Tantrum, Spite, Role Play</v>
          </cell>
          <cell r="Z79" t="str">
            <v>Work Up, Thunderbolt, Thunder, Flamethrower, Fire Blast, Strength, Earthquake, Earth Power, Stone Edge, Iron Tail, Wild Charge, Flame Charge, Zen Headbutt, Substitute, Sleep Talk, Helping Hand, Return, Frustration, Retaliate, Uproar, Overheat, Solar Beam, Explosion, Outrage, Endure, Endeavor</v>
          </cell>
          <cell r="AA79" t="str">
            <v>None</v>
          </cell>
          <cell r="AB79" t="str">
            <v>Horn Drill</v>
          </cell>
          <cell r="AE79" t="str">
            <v>Field
Male only</v>
          </cell>
        </row>
        <row r="80">
          <cell r="G80">
            <v>95</v>
          </cell>
          <cell r="H80">
            <v>80</v>
          </cell>
          <cell r="I80">
            <v>105</v>
          </cell>
          <cell r="J80">
            <v>40</v>
          </cell>
          <cell r="K80">
            <v>70</v>
          </cell>
          <cell r="L80">
            <v>100</v>
          </cell>
          <cell r="M80">
            <v>490</v>
          </cell>
          <cell r="N80">
            <v>0</v>
          </cell>
          <cell r="O80">
            <v>30</v>
          </cell>
          <cell r="P80">
            <v>30</v>
          </cell>
          <cell r="Q80">
            <v>0</v>
          </cell>
          <cell r="R80">
            <v>10</v>
          </cell>
          <cell r="S80">
            <v>70</v>
          </cell>
          <cell r="Y80" t="str">
            <v>Hyper Beam, Giga Impact, Hidden Power, Secret Power, Bulldoze, Rock Slide, Brick Break, Thunder Punch, Fire Punch, Charm, Thunder Wave, Will-O-Wisp, Attract, Rest, Snore, Protect, Sunny Day, Flash, Fling, Façade, Round, Rock Tomb, Rock Smash, Tantrum, Psych Up, After You, Block</v>
          </cell>
          <cell r="Z80" t="str">
            <v>Work Up, Flamethrower, Fire Blast, Shadow Ball, Strength, Earthquake, Earth Power, Focus Blast, Iron Tail, Wild Charge, Flame Charge, Zen Headbutt, Substitute, Sleep Talk, Helping Hand, Heal Bell, Stealth Rock, Return, Frustration, Retaliate, Gyro Ball, Overheat, Solar Beam, Explosion, Endure</v>
          </cell>
          <cell r="AA80" t="str">
            <v>Curse, Dizzy Punch, Double-Edge, Fire Spin, Hammer Arm, Heart Stamp, Helping Hand, Inferno, Natural Gift, Present, Punishment, Seismic Toss, Sleep Talk</v>
          </cell>
          <cell r="AB80" t="str">
            <v>Mega Kick</v>
          </cell>
          <cell r="AE80" t="str">
            <v>Field
Female only</v>
          </cell>
        </row>
        <row r="81">
          <cell r="G81">
            <v>50</v>
          </cell>
          <cell r="H81">
            <v>50</v>
          </cell>
          <cell r="I81">
            <v>95</v>
          </cell>
          <cell r="J81">
            <v>40</v>
          </cell>
          <cell r="K81">
            <v>50</v>
          </cell>
          <cell r="L81">
            <v>35</v>
          </cell>
          <cell r="M81">
            <v>320</v>
          </cell>
          <cell r="N81">
            <v>0</v>
          </cell>
          <cell r="O81">
            <v>30</v>
          </cell>
          <cell r="P81">
            <v>30</v>
          </cell>
          <cell r="Q81">
            <v>0</v>
          </cell>
          <cell r="R81">
            <v>0</v>
          </cell>
          <cell r="S81">
            <v>60</v>
          </cell>
          <cell r="Y81" t="str">
            <v>Hidden Power, Secret Power, Thief, Bulldoze, Rock Slide, Brick Break, Aerial Ace, Fake Tears, Will-O-Wisp, Attract, Rest, Protect, Sunny Day, Rain Dance, Sandstorm, Flash, Fling, False Swipe, Façade, Chip Away, Round, Echoed Voice, Rock Tomb, Brutal Swing, Smack Down</v>
          </cell>
          <cell r="Z81" t="str">
            <v>Swords Dance, Ice Beam, Blizzard, Thunderbolt, Thunder, Flamethrower, Fire Blast, Dark Pulse, Hex, Shadow Ball, Strength, Earthquake, Stone Edge, Focus Blast, Flame Charge, Substitute, Dream Eater, Sleep Talk, Return, Frustration, Endure</v>
          </cell>
          <cell r="AA81" t="str">
            <v>Ancient Power, Belly Drum, Chip Away, Curse, Detect, Double Kick, Endure, Incinerate, Perish Song, Screech</v>
          </cell>
          <cell r="AB81" t="str">
            <v>Mystical Fire</v>
          </cell>
          <cell r="AE81" t="str">
            <v>Monster
1♂ : 1♀</v>
          </cell>
        </row>
        <row r="82">
          <cell r="G82">
            <v>45</v>
          </cell>
          <cell r="H82">
            <v>55</v>
          </cell>
          <cell r="I82">
            <v>45</v>
          </cell>
          <cell r="J82">
            <v>65</v>
          </cell>
          <cell r="K82">
            <v>45</v>
          </cell>
          <cell r="L82">
            <v>75</v>
          </cell>
          <cell r="M82">
            <v>330</v>
          </cell>
          <cell r="N82">
            <v>20</v>
          </cell>
          <cell r="O82">
            <v>0</v>
          </cell>
          <cell r="P82">
            <v>20</v>
          </cell>
          <cell r="Q82">
            <v>0</v>
          </cell>
          <cell r="R82">
            <v>0</v>
          </cell>
          <cell r="S82">
            <v>40</v>
          </cell>
          <cell r="Y82" t="str">
            <v>Hidden Power, Secret Power, Thief, Aerial Ace, Attract, Rest, Protect, Sunny Day, Rain Dance, Embargo, Fling, Recycle, Façade, Round, Fly, Laser Focus, Snatch, After You</v>
          </cell>
          <cell r="Z82" t="str">
            <v>Acrobatics, Hurricane, Gunk Shot, Seed Bomb, Defog, Tailwind, Substitute, Roost, Sleep Talk, Helping Hand, Return, Frustration, Steel Wing, U-Turn, Heat Wave, Sky Attack, Trick, Knock Off, Endure, Endeavor</v>
          </cell>
          <cell r="AA82" t="str">
            <v>Air Cutter, Air Slash, Agility, Bestow, Destiny Bond, Dive, Fake Out, Future Sight, Quick Attack, Pluck, Rapid Spin, Sky Drop, Spikes, Splash, Wing Attack</v>
          </cell>
          <cell r="AB82" t="str">
            <v>Pay Day</v>
          </cell>
          <cell r="AE82" t="str">
            <v>Water 1 &amp; Field
1♂ : 1♀</v>
          </cell>
        </row>
        <row r="83">
          <cell r="G83">
            <v>50</v>
          </cell>
          <cell r="H83">
            <v>85</v>
          </cell>
          <cell r="I83">
            <v>45</v>
          </cell>
          <cell r="J83">
            <v>75</v>
          </cell>
          <cell r="K83">
            <v>65</v>
          </cell>
          <cell r="L83">
            <v>90</v>
          </cell>
          <cell r="M83">
            <v>410</v>
          </cell>
          <cell r="N83">
            <v>20</v>
          </cell>
          <cell r="O83">
            <v>40</v>
          </cell>
          <cell r="P83">
            <v>30</v>
          </cell>
          <cell r="Q83">
            <v>0</v>
          </cell>
          <cell r="R83">
            <v>0</v>
          </cell>
          <cell r="S83">
            <v>90</v>
          </cell>
          <cell r="Y83" t="str">
            <v>Hidden Power, Secret Power, Charm, Will-O-Wisp, Attract, Rest, Protect, Sunny Day, Flash, Façade, Natural Gift, Round, Echoed Voice</v>
          </cell>
          <cell r="Z83" t="str">
            <v>Flamethrower, Fire Blast, Dazzling Gleam, Strength, Wild Charge, Flame Charge, Substitute, Sleep Talk, Return, Frustration, Overheat, Solar Beam, Ally Switch, Endure</v>
          </cell>
          <cell r="AA83" t="str">
            <v>Ally Switch, Captivate, Double-Edge, Double Kick, Flame Wheel, Horn Drill, Hypnosis, Low Kick, Morning Sun, Thrash</v>
          </cell>
          <cell r="AB83" t="str">
            <v>Horn Leech</v>
          </cell>
          <cell r="AE83" t="str">
            <v>Field
1♂ : 1♀</v>
          </cell>
        </row>
        <row r="84">
          <cell r="G84">
            <v>65</v>
          </cell>
          <cell r="H84">
            <v>100</v>
          </cell>
          <cell r="I84">
            <v>60</v>
          </cell>
          <cell r="J84">
            <v>90</v>
          </cell>
          <cell r="K84">
            <v>80</v>
          </cell>
          <cell r="L84">
            <v>105</v>
          </cell>
          <cell r="M84">
            <v>500</v>
          </cell>
          <cell r="N84">
            <v>40</v>
          </cell>
          <cell r="O84">
            <v>70</v>
          </cell>
          <cell r="P84">
            <v>20</v>
          </cell>
          <cell r="Q84">
            <v>0</v>
          </cell>
          <cell r="R84">
            <v>0</v>
          </cell>
          <cell r="S84">
            <v>130</v>
          </cell>
          <cell r="Y84" t="str">
            <v>Hyper Beam, Giga Impact, Hidden Power, Secret Power, Smart Strike, Charm, Will-O-Wisp, Attract, Rest, Protect, Sunny Day, Flash, Façade, Natural Gift, Round, Echoed Voice, Fly</v>
          </cell>
          <cell r="Z84" t="str">
            <v>Flamethrower, Fire Blast, Dazzling Gleam, Strength, Hurricane, Wild Charge, Flame Charge, Drill Run, Tailwind, Substitute, Roost, Sleep Talk, Return, Frustration, Steel Wing, Overheat, Solar Beam, Ally Switch, Endure</v>
          </cell>
          <cell r="AB84" t="str">
            <v>Horn Leech</v>
          </cell>
          <cell r="AE84" t="str">
            <v>Field
1♂ : 1♀</v>
          </cell>
        </row>
        <row r="85">
          <cell r="G85">
            <v>85</v>
          </cell>
          <cell r="H85">
            <v>87</v>
          </cell>
          <cell r="I85">
            <v>66</v>
          </cell>
          <cell r="J85">
            <v>115</v>
          </cell>
          <cell r="K85">
            <v>66</v>
          </cell>
          <cell r="L85">
            <v>65</v>
          </cell>
          <cell r="M85">
            <v>484</v>
          </cell>
          <cell r="N85">
            <v>20</v>
          </cell>
          <cell r="O85">
            <v>0</v>
          </cell>
          <cell r="P85">
            <v>0</v>
          </cell>
          <cell r="Q85">
            <v>20</v>
          </cell>
          <cell r="R85">
            <v>30</v>
          </cell>
          <cell r="S85">
            <v>70</v>
          </cell>
          <cell r="Y85" t="str">
            <v>Hyper Beam, Giga Impact, Hidden Power, Secret Power, Incinerate, Thief, Shadow Claw, Fire Punch, Will-O-Wisp, Attract, Rest, Protect, Sunny Day, Embargo, Fling, Façade, Chip Away, Round, Payback, Dig, Rock Tomb, Rock Smash, Compensation, Hone Claws, Laser Focus, After You</v>
          </cell>
          <cell r="Z85" t="str">
            <v>Work Up, Flamethrower, Fire Blast, Earth Power, Focus Blast, Substitute, Sleep Talk, Helping Hand, Return, Frustration, Overheat, Solar Beam, Taunt, Endure</v>
          </cell>
          <cell r="AA85" t="str">
            <v>Belch, Body Slam, Curse, Feint Attack, Heat Wave, Night Slash, Pursuit, Sucker Punch, Tickle, Wrap</v>
          </cell>
          <cell r="AB85" t="str">
            <v>Instruct</v>
          </cell>
          <cell r="AE85" t="str">
            <v>Field
1♂ : 1♀</v>
          </cell>
        </row>
        <row r="86">
          <cell r="G86">
            <v>58</v>
          </cell>
          <cell r="H86">
            <v>109</v>
          </cell>
          <cell r="I86">
            <v>92</v>
          </cell>
          <cell r="J86">
            <v>68</v>
          </cell>
          <cell r="K86">
            <v>48</v>
          </cell>
          <cell r="L86">
            <v>109</v>
          </cell>
          <cell r="M86">
            <v>484</v>
          </cell>
          <cell r="N86">
            <v>30</v>
          </cell>
          <cell r="O86">
            <v>20</v>
          </cell>
          <cell r="P86">
            <v>0</v>
          </cell>
          <cell r="Q86">
            <v>20</v>
          </cell>
          <cell r="R86">
            <v>0</v>
          </cell>
          <cell r="S86">
            <v>70</v>
          </cell>
          <cell r="Y86" t="str">
            <v>Hyper Beam, Giga Impact, Hidden Power, Secret Power, Shadow Claw, Bug Bite, Aerial Ace, Screech, Will-O-Wisp, Attract, Rest, Protect, Façade, Rock Climb, Round, Infestation, Dig, Hone Claws</v>
          </cell>
          <cell r="Z86" t="str">
            <v>Flamethrower, Fire Blast, Energy Ball, Strength, X-Scissor, Dragon Claw, Dragon Pulse, Flame Charge, Substitute, Sleep Talk, Helping Hand, Return, Frustration, Overheat, Explosion, Endure</v>
          </cell>
          <cell r="AA86" t="str">
            <v>Baton Pass, Endure, Feint Attack, Flare Blitz, Poison Fang, Screech</v>
          </cell>
          <cell r="AB86" t="str">
            <v>Heal Order</v>
          </cell>
          <cell r="AE86" t="str">
            <v>Bug
1♂ : 1♀</v>
          </cell>
        </row>
        <row r="87">
          <cell r="G87">
            <v>80</v>
          </cell>
          <cell r="H87">
            <v>110</v>
          </cell>
          <cell r="I87">
            <v>70</v>
          </cell>
          <cell r="J87">
            <v>90</v>
          </cell>
          <cell r="K87">
            <v>70</v>
          </cell>
          <cell r="L87">
            <v>150</v>
          </cell>
          <cell r="M87">
            <v>570</v>
          </cell>
          <cell r="S87">
            <v>0</v>
          </cell>
          <cell r="Y87" t="str">
            <v>Hyper Beam, Giga Impact, Hidden Power, Secret Power, Thief, Aerial Ace, Attract, Rest, Protect, Sunny Day, Rain Dance, Embargo, Façade, Round, Fly</v>
          </cell>
          <cell r="Z87" t="str">
            <v>Acrobatics, Hurricane, Substitute, Roost, Sleep Talk, Return, Frustration, Steel Wing, U-Turn, Taunt, Torment, Endure</v>
          </cell>
          <cell r="AA87" t="str">
            <v>N/A</v>
          </cell>
          <cell r="AE87" t="str">
            <v>Undiscovered
Male only</v>
          </cell>
        </row>
        <row r="88">
          <cell r="G88">
            <v>165</v>
          </cell>
          <cell r="H88">
            <v>60</v>
          </cell>
          <cell r="I88">
            <v>60</v>
          </cell>
          <cell r="J88">
            <v>85</v>
          </cell>
          <cell r="K88">
            <v>110</v>
          </cell>
          <cell r="L88">
            <v>90</v>
          </cell>
          <cell r="M88">
            <v>570</v>
          </cell>
          <cell r="S88">
            <v>0</v>
          </cell>
          <cell r="Y88" t="str">
            <v>Hyper Beam, Giga Impact, Hidden Power, Secret Power, Nature Power, Giga Drain, Venoshock, Toxic, Attract, Rest, Protect, Sunny Day, Rain Dance, Grassy Terrain, Psychic Terrain, Embargo, Fling, Façade, Natural Gift, Round, Infestation, Psych Up</v>
          </cell>
          <cell r="Z88" t="str">
            <v>Amnesia, Grass Knot, Energy Ball, Sludge Bomb, Sludge Wave, Dazzling Gleam, Seed Bomb, Substitute, Synthesis, Dream Eater, Sleep Talk, Return, Frustration, Solar Beam, Encore, Torment, Endure</v>
          </cell>
          <cell r="AA88" t="str">
            <v>N/A</v>
          </cell>
          <cell r="AE88" t="str">
            <v>Undiscovered
Male only</v>
          </cell>
        </row>
        <row r="89">
          <cell r="G89">
            <v>75</v>
          </cell>
          <cell r="H89">
            <v>105</v>
          </cell>
          <cell r="I89">
            <v>75</v>
          </cell>
          <cell r="J89">
            <v>125</v>
          </cell>
          <cell r="K89">
            <v>75</v>
          </cell>
          <cell r="L89">
            <v>115</v>
          </cell>
          <cell r="M89">
            <v>570</v>
          </cell>
          <cell r="N89">
            <v>30</v>
          </cell>
          <cell r="O89">
            <v>50</v>
          </cell>
          <cell r="P89">
            <v>10</v>
          </cell>
          <cell r="Q89">
            <v>30</v>
          </cell>
          <cell r="R89">
            <v>0</v>
          </cell>
          <cell r="S89">
            <v>120</v>
          </cell>
          <cell r="Y89" t="str">
            <v>Hyper Beam, Giga Impact, Hidden Power, Secret Power, Nature Power, Shadow Claw, Nightmare, Rest, Protect, Reflect, Light Screen, Safeguard, Sunny Day, Façade, Round, Phantom Force</v>
          </cell>
          <cell r="Z89" t="str">
            <v>Calm Mind, Rock Polish, Ice Beam, Blizzard, Grass Knot, Energy Ball, Psychic, Dark Pulse, Hex, Shadow Ball, Dazzling Gleam, Substitute, Dream Eater, Sleep Talk, Return, Frustration, Trick, Worry Seed, Endure</v>
          </cell>
          <cell r="AA89" t="str">
            <v>Midnight</v>
          </cell>
          <cell r="AB89" t="str">
            <v>Mist Ball</v>
          </cell>
          <cell r="AE89" t="str">
            <v>Undiscovered
Female only</v>
          </cell>
        </row>
        <row r="90">
          <cell r="G90">
            <v>115</v>
          </cell>
          <cell r="H90">
            <v>75</v>
          </cell>
          <cell r="I90">
            <v>75</v>
          </cell>
          <cell r="J90">
            <v>125</v>
          </cell>
          <cell r="K90">
            <v>75</v>
          </cell>
          <cell r="L90">
            <v>105</v>
          </cell>
          <cell r="M90">
            <v>570</v>
          </cell>
          <cell r="N90">
            <v>30</v>
          </cell>
          <cell r="O90">
            <v>80</v>
          </cell>
          <cell r="P90">
            <v>10</v>
          </cell>
          <cell r="Q90">
            <v>0</v>
          </cell>
          <cell r="R90">
            <v>0</v>
          </cell>
          <cell r="S90">
            <v>120</v>
          </cell>
          <cell r="Y90" t="str">
            <v>Hyper Beam, Giga Impact, Hidden Power, Secret Power, Incinerate, Aerial Ace, Will-O-Wisp, Attract, Rest, Protect, Sunny Day, Façade, Round, Echoed Voice, Fly, Snarl, Psych Up</v>
          </cell>
          <cell r="Z90" t="str">
            <v>Flamethrower, Fire Blast, Psychic, Acrobatics, Hurricane, Flame Charge, Substitute, Roost, Dream Eater, Sleep Talk, Return, Frustration, Steel Wing, Overheat, Solar Beam, Taunt, Torment, Endure</v>
          </cell>
          <cell r="AA90" t="str">
            <v>N/A</v>
          </cell>
          <cell r="AB90" t="str">
            <v>Luster Purge</v>
          </cell>
          <cell r="AE90" t="str">
            <v>Undiscovered
Male only</v>
          </cell>
        </row>
        <row r="91">
          <cell r="G91">
            <v>90</v>
          </cell>
          <cell r="H91">
            <v>100</v>
          </cell>
          <cell r="I91">
            <v>130</v>
          </cell>
          <cell r="J91">
            <v>100</v>
          </cell>
          <cell r="K91">
            <v>120</v>
          </cell>
          <cell r="L91">
            <v>60</v>
          </cell>
          <cell r="M91">
            <v>600</v>
          </cell>
          <cell r="P91">
            <v>0</v>
          </cell>
          <cell r="S91">
            <v>0</v>
          </cell>
          <cell r="Y91" t="str">
            <v>Hyper Beam, Giga Impact, Hidden Power, Secret Power, Rest, Protect, Sunny Day, Rain Dance, Façade, Round</v>
          </cell>
          <cell r="Z91" t="str">
            <v>Substitute, Sleep Talk, Return, Frustration, Endure</v>
          </cell>
          <cell r="AA91" t="str">
            <v>Steel Beam</v>
          </cell>
          <cell r="AE91" t="str">
            <v>Undiscovered
Genderless</v>
          </cell>
        </row>
        <row r="92">
          <cell r="G92">
            <v>120</v>
          </cell>
          <cell r="H92">
            <v>90</v>
          </cell>
          <cell r="I92">
            <v>85</v>
          </cell>
          <cell r="J92">
            <v>90</v>
          </cell>
          <cell r="K92">
            <v>95</v>
          </cell>
          <cell r="L92">
            <v>120</v>
          </cell>
          <cell r="M92">
            <v>600</v>
          </cell>
          <cell r="N92">
            <v>0</v>
          </cell>
          <cell r="O92">
            <v>80</v>
          </cell>
          <cell r="P92">
            <v>40</v>
          </cell>
          <cell r="Q92">
            <v>0</v>
          </cell>
          <cell r="R92">
            <v>0</v>
          </cell>
          <cell r="S92">
            <v>120</v>
          </cell>
          <cell r="Y92" t="str">
            <v>Hyper Beam, Giga Impact, Hidden Power, Secret Power, Attract, Rest, Protect, Sunny Day, Rain Dance, Façade, Round</v>
          </cell>
          <cell r="Z92" t="str">
            <v>Substitute, Sleep Talk, Return, Frustration, Endure</v>
          </cell>
          <cell r="AA92" t="str">
            <v>N/A</v>
          </cell>
          <cell r="AE92" t="str">
            <v>Undiscovered
Female only</v>
          </cell>
        </row>
        <row r="93">
          <cell r="G93">
            <v>95</v>
          </cell>
          <cell r="H93">
            <v>170</v>
          </cell>
          <cell r="I93">
            <v>90</v>
          </cell>
          <cell r="J93">
            <v>90</v>
          </cell>
          <cell r="K93">
            <v>70</v>
          </cell>
          <cell r="L93">
            <v>85</v>
          </cell>
          <cell r="M93">
            <v>600</v>
          </cell>
          <cell r="N93">
            <v>40</v>
          </cell>
          <cell r="O93">
            <v>0</v>
          </cell>
          <cell r="P93">
            <v>0</v>
          </cell>
          <cell r="Q93">
            <v>0</v>
          </cell>
          <cell r="R93">
            <v>80</v>
          </cell>
          <cell r="S93">
            <v>120</v>
          </cell>
          <cell r="Y93" t="str">
            <v>Hyper Beam, Giga Impact, Hidden Power, Secret Power, Attract, Rest, Protect, Sunny Day, Rain Dance, Façade, Round</v>
          </cell>
          <cell r="Z93" t="str">
            <v>Substitute, Sleep Talk, Return, Frustration, Endure</v>
          </cell>
          <cell r="AA93" t="str">
            <v>N/A</v>
          </cell>
          <cell r="AE93" t="str">
            <v>Undiscovered
Male only</v>
          </cell>
        </row>
        <row r="94">
          <cell r="G94">
            <v>95</v>
          </cell>
          <cell r="H94">
            <v>90</v>
          </cell>
          <cell r="I94">
            <v>70</v>
          </cell>
          <cell r="J94">
            <v>170</v>
          </cell>
          <cell r="K94">
            <v>90</v>
          </cell>
          <cell r="L94">
            <v>85</v>
          </cell>
          <cell r="M94">
            <v>600</v>
          </cell>
          <cell r="N94">
            <v>0</v>
          </cell>
          <cell r="O94">
            <v>0</v>
          </cell>
          <cell r="P94">
            <v>0</v>
          </cell>
          <cell r="Q94">
            <v>80</v>
          </cell>
          <cell r="R94">
            <v>40</v>
          </cell>
          <cell r="S94">
            <v>120</v>
          </cell>
          <cell r="Y94" t="str">
            <v>Hyper Beam, Giga Impact, Hidden Power, Secret Power, Attract, Rest, Protect, Sunny Day, Rain Dance, Façade, Round</v>
          </cell>
          <cell r="Z94" t="str">
            <v>Substitute, Sleep Talk, Return, Frustration, Endure</v>
          </cell>
          <cell r="AA94" t="str">
            <v>N/A</v>
          </cell>
          <cell r="AE94" t="str">
            <v>Undiscovered
Female only</v>
          </cell>
        </row>
        <row r="95">
          <cell r="G95">
            <v>100</v>
          </cell>
          <cell r="H95">
            <v>100</v>
          </cell>
          <cell r="I95">
            <v>100</v>
          </cell>
          <cell r="J95">
            <v>100</v>
          </cell>
          <cell r="K95">
            <v>100</v>
          </cell>
          <cell r="L95">
            <v>100</v>
          </cell>
          <cell r="M95">
            <v>600</v>
          </cell>
          <cell r="S95">
            <v>0</v>
          </cell>
          <cell r="Y95" t="str">
            <v>Hyper Beam, Giga Impact, Hidden Power, Secret Power, Attract, Rest, Protect, Sunny Day, Rain Dance, Façade, Round</v>
          </cell>
          <cell r="Z95" t="str">
            <v>Substitute, Sleep Talk, Return, Frustration, Endure</v>
          </cell>
          <cell r="AA95" t="str">
            <v>N/A</v>
          </cell>
          <cell r="AE95" t="str">
            <v>Undiscovered
Female only</v>
          </cell>
        </row>
        <row r="96">
          <cell r="G96">
            <v>135</v>
          </cell>
          <cell r="H96">
            <v>120</v>
          </cell>
          <cell r="I96">
            <v>105</v>
          </cell>
          <cell r="J96">
            <v>120</v>
          </cell>
          <cell r="K96">
            <v>105</v>
          </cell>
          <cell r="L96">
            <v>95</v>
          </cell>
          <cell r="M96">
            <v>680</v>
          </cell>
          <cell r="N96">
            <v>60</v>
          </cell>
          <cell r="O96">
            <v>0</v>
          </cell>
          <cell r="P96">
            <v>30</v>
          </cell>
          <cell r="Q96">
            <v>0</v>
          </cell>
          <cell r="R96">
            <v>70</v>
          </cell>
          <cell r="S96">
            <v>160</v>
          </cell>
          <cell r="Y96" t="str">
            <v>Hyper Beam, Giga Impact, Hidden Power, Secret Power, Water Pulse, Bulldoze, Dragon Tail, Screech, Attract, Rest, Snore, Protect, Rain Dance, Façade, Round, Echoed Voice, Brine, Whirlpool, Dive, Rock Tomb, Icy Wind, Breaking Swipe, Rock Smash, Tantrum, Block</v>
          </cell>
          <cell r="Z96" t="str">
            <v>Work Up, Bulk Up, Ice Beam, Surf, Hydro Pump, Strength, Hyper Voice, Earthquake, Earth Power, Stone Edge, Dragon Pulse, Waterfall, Aqua Tail, Zen Headbutt, Substitute, Sleep Talk, Stealth Rock, Return, Frustration, Uproar, Body Press, Scald, Superpower, Endure</v>
          </cell>
          <cell r="AA96" t="str">
            <v>N/A</v>
          </cell>
          <cell r="AE96" t="str">
            <v>Undiscovered
Genderless</v>
          </cell>
        </row>
        <row r="97">
          <cell r="G97">
            <v>100</v>
          </cell>
          <cell r="H97">
            <v>135</v>
          </cell>
          <cell r="I97">
            <v>125</v>
          </cell>
          <cell r="J97">
            <v>100</v>
          </cell>
          <cell r="K97">
            <v>105</v>
          </cell>
          <cell r="L97">
            <v>115</v>
          </cell>
          <cell r="M97">
            <v>680</v>
          </cell>
          <cell r="N97">
            <v>40</v>
          </cell>
          <cell r="O97">
            <v>60</v>
          </cell>
          <cell r="P97">
            <v>0</v>
          </cell>
          <cell r="Q97">
            <v>30</v>
          </cell>
          <cell r="R97">
            <v>30</v>
          </cell>
          <cell r="S97">
            <v>160</v>
          </cell>
          <cell r="Y97" t="str">
            <v>Hyper Beam, Giga Impact, Hidden Power, Secret Power, Incinerate, Thief, Shadow Claw, Fire Punch, Fake Tears, Will-O-Wisp, Nightmare, Rest, Protect, Sunny Day, Trick Room, Gravity, Flash, Embargo, Fling, False Swipe, Façade, Round, Payback, Infestation, Dig, Rock Tomb, Snarl, Rock Smash, Assurance, Phantom Force, Compensation, Hone Claws, Laser Focus, Magic Coat, Snatch, Spite, Role Play, Psych Up, Pain Split</v>
          </cell>
          <cell r="Z97" t="str">
            <v>Work Up, Calm Mind, Nasty Plot, Flamethrower, Fire Blast, Psychic, Foul Play, Dark Pulse, Hex, Shadow Ball, Dazzling Gleam, Hyper Voice, Earthquake, Earth Power, Dragon Claw, Flame Charge, Substitute, Dream Eater, Sleep Talk, Return, Frustration, Last Resort, Retaliate, Future Sight, Poltergeist, Overheat, Heat Wave, Explosion, Ally Switch, Trick, Knock Off, Encore, Taunt, Torment, Endure</v>
          </cell>
          <cell r="AA97" t="str">
            <v>Midnight</v>
          </cell>
          <cell r="AB97" t="str">
            <v>Shadow Force</v>
          </cell>
          <cell r="AE97" t="str">
            <v>Undiscovered
Genderless</v>
          </cell>
        </row>
        <row r="98">
          <cell r="G98">
            <v>100</v>
          </cell>
          <cell r="H98">
            <v>100</v>
          </cell>
          <cell r="I98">
            <v>105</v>
          </cell>
          <cell r="J98">
            <v>135</v>
          </cell>
          <cell r="K98">
            <v>125</v>
          </cell>
          <cell r="L98">
            <v>115</v>
          </cell>
          <cell r="M98">
            <v>680</v>
          </cell>
          <cell r="N98">
            <v>90</v>
          </cell>
          <cell r="O98">
            <v>30</v>
          </cell>
          <cell r="P98">
            <v>0</v>
          </cell>
          <cell r="Q98">
            <v>0</v>
          </cell>
          <cell r="R98">
            <v>40</v>
          </cell>
          <cell r="S98">
            <v>160</v>
          </cell>
          <cell r="Y98" t="str">
            <v>Hyper Beam, Giga Impact, Hidden Power, Secret Power, Shock Wave, Aerial Ace, Eerie Impulse, Thunder Wave, Rest, Protect, Sunny Day, Rain Dance, Electric Terrain, Flash, Façade, Natural Gift, Round, Payback, Fly, Charge Beam, Electroweb, Compensation, Laser Focus, Telekinesis, Magic Coat, Spite, After You</v>
          </cell>
          <cell r="Z98" t="str">
            <v>Work Up, Calm Mind, Nasty Plot, Amnesia, Thunderbolt, Thunder, Psychic, Flash Cannon, Dazzling Gleam, Hyper Voice, Focus Blast, Acrobatics, Hurricane, Dragon Claw, Wild Charge, Zen Headbutt, Defog, Tailwind, Substitute, Roost, Sleep Talk, Helping Hand, Heal Bell, Return, Frustration, Retaliate, Uproar, Future Sight, Steel Wind, Volt Switch, Electro Ball, Sky Attack, Outrage, Ally Switch, Endure</v>
          </cell>
          <cell r="AA98" t="str">
            <v>N/A</v>
          </cell>
          <cell r="AB98" t="str">
            <v>Eminence</v>
          </cell>
          <cell r="AE98" t="str">
            <v>Undiscovered
Genderless</v>
          </cell>
        </row>
        <row r="99">
          <cell r="G99">
            <v>100</v>
          </cell>
          <cell r="H99">
            <v>40</v>
          </cell>
          <cell r="I99">
            <v>200</v>
          </cell>
          <cell r="J99">
            <v>40</v>
          </cell>
          <cell r="K99">
            <v>200</v>
          </cell>
          <cell r="L99">
            <v>20</v>
          </cell>
          <cell r="M99">
            <v>600</v>
          </cell>
          <cell r="N99">
            <v>0</v>
          </cell>
          <cell r="O99">
            <v>40</v>
          </cell>
          <cell r="P99">
            <v>30</v>
          </cell>
          <cell r="Q99">
            <v>0</v>
          </cell>
          <cell r="R99">
            <v>50</v>
          </cell>
          <cell r="S99">
            <v>120</v>
          </cell>
          <cell r="Y99" t="str">
            <v>Hyper Beam, Giga Impact, Hidden Power, Secret Power, Rest, Protect, Safeguard, Sunny Day, Rain Dance, Façade, Round</v>
          </cell>
          <cell r="Z99" t="str">
            <v>Substitute, Sleep Talk, Return, Frustration, Endure</v>
          </cell>
          <cell r="AA99" t="str">
            <v>Draco Meteor, Meteor Beam, Stasis, Midnight</v>
          </cell>
          <cell r="AE99" t="str">
            <v>Undiscovered
Genderless</v>
          </cell>
        </row>
      </sheetData>
      <sheetData sheetId="3">
        <row r="1">
          <cell r="O1" t="str">
            <v>Cool</v>
          </cell>
          <cell r="P1" t="str">
            <v>Beauty</v>
          </cell>
          <cell r="Q1" t="str">
            <v>Cute</v>
          </cell>
          <cell r="R1" t="str">
            <v>Clever</v>
          </cell>
          <cell r="S1" t="str">
            <v>Tough</v>
          </cell>
        </row>
        <row r="2">
          <cell r="O2">
            <v>0</v>
          </cell>
          <cell r="P2">
            <v>0</v>
          </cell>
          <cell r="Q2">
            <v>30</v>
          </cell>
          <cell r="R2">
            <v>10</v>
          </cell>
          <cell r="S2">
            <v>0</v>
          </cell>
        </row>
        <row r="3">
          <cell r="O3">
            <v>0</v>
          </cell>
          <cell r="P3">
            <v>20</v>
          </cell>
          <cell r="Q3">
            <v>10</v>
          </cell>
          <cell r="R3">
            <v>20</v>
          </cell>
          <cell r="S3">
            <v>10</v>
          </cell>
        </row>
        <row r="4">
          <cell r="O4">
            <v>0</v>
          </cell>
          <cell r="P4">
            <v>20</v>
          </cell>
          <cell r="Q4">
            <v>0</v>
          </cell>
          <cell r="R4">
            <v>40</v>
          </cell>
          <cell r="S4">
            <v>40</v>
          </cell>
        </row>
        <row r="6">
          <cell r="O6">
            <v>20</v>
          </cell>
          <cell r="P6">
            <v>20</v>
          </cell>
          <cell r="Q6">
            <v>20</v>
          </cell>
          <cell r="R6">
            <v>0</v>
          </cell>
          <cell r="S6">
            <v>0</v>
          </cell>
        </row>
        <row r="7">
          <cell r="O7">
            <v>30</v>
          </cell>
          <cell r="P7">
            <v>10</v>
          </cell>
          <cell r="Q7">
            <v>10</v>
          </cell>
          <cell r="R7">
            <v>0</v>
          </cell>
          <cell r="S7">
            <v>10</v>
          </cell>
        </row>
        <row r="8">
          <cell r="O8">
            <v>90</v>
          </cell>
          <cell r="P8">
            <v>0</v>
          </cell>
          <cell r="Q8">
            <v>0</v>
          </cell>
          <cell r="R8">
            <v>0</v>
          </cell>
          <cell r="S8">
            <v>30</v>
          </cell>
        </row>
        <row r="11">
          <cell r="O11">
            <v>0</v>
          </cell>
          <cell r="P11">
            <v>0</v>
          </cell>
          <cell r="Q11">
            <v>30</v>
          </cell>
          <cell r="R11">
            <v>0</v>
          </cell>
          <cell r="S11">
            <v>20</v>
          </cell>
        </row>
        <row r="12">
          <cell r="O12">
            <v>0</v>
          </cell>
          <cell r="P12">
            <v>20</v>
          </cell>
          <cell r="Q12">
            <v>10</v>
          </cell>
          <cell r="R12">
            <v>0</v>
          </cell>
          <cell r="S12">
            <v>40</v>
          </cell>
        </row>
        <row r="13">
          <cell r="O13">
            <v>30</v>
          </cell>
          <cell r="P13">
            <v>0</v>
          </cell>
          <cell r="Q13">
            <v>0</v>
          </cell>
          <cell r="R13">
            <v>10</v>
          </cell>
          <cell r="S13">
            <v>70</v>
          </cell>
        </row>
        <row r="15">
          <cell r="O15">
            <v>0</v>
          </cell>
          <cell r="P15">
            <v>0</v>
          </cell>
          <cell r="Q15">
            <v>0</v>
          </cell>
          <cell r="R15">
            <v>10</v>
          </cell>
          <cell r="S15">
            <v>0</v>
          </cell>
        </row>
        <row r="16">
          <cell r="O16">
            <v>0</v>
          </cell>
          <cell r="P16">
            <v>0</v>
          </cell>
          <cell r="Q16">
            <v>0</v>
          </cell>
          <cell r="R16">
            <v>0</v>
          </cell>
          <cell r="S16">
            <v>10</v>
          </cell>
        </row>
        <row r="17">
          <cell r="O17">
            <v>0</v>
          </cell>
          <cell r="P17">
            <v>20</v>
          </cell>
          <cell r="Q17">
            <v>20</v>
          </cell>
          <cell r="R17">
            <v>0</v>
          </cell>
          <cell r="S17">
            <v>0</v>
          </cell>
        </row>
        <row r="18">
          <cell r="O18">
            <v>0</v>
          </cell>
          <cell r="P18">
            <v>0</v>
          </cell>
          <cell r="Q18">
            <v>0</v>
          </cell>
          <cell r="R18">
            <v>10</v>
          </cell>
          <cell r="S18">
            <v>0</v>
          </cell>
        </row>
        <row r="19">
          <cell r="O19">
            <v>0</v>
          </cell>
          <cell r="P19">
            <v>0</v>
          </cell>
          <cell r="Q19">
            <v>0</v>
          </cell>
          <cell r="R19">
            <v>0</v>
          </cell>
          <cell r="S19">
            <v>10</v>
          </cell>
        </row>
        <row r="20">
          <cell r="O20">
            <v>20</v>
          </cell>
          <cell r="P20">
            <v>0</v>
          </cell>
          <cell r="Q20">
            <v>0</v>
          </cell>
          <cell r="R20">
            <v>0</v>
          </cell>
          <cell r="S20">
            <v>20</v>
          </cell>
        </row>
        <row r="22">
          <cell r="O22">
            <v>10</v>
          </cell>
          <cell r="P22">
            <v>0</v>
          </cell>
          <cell r="Q22">
            <v>0</v>
          </cell>
          <cell r="R22">
            <v>0</v>
          </cell>
          <cell r="S22">
            <v>0</v>
          </cell>
        </row>
        <row r="23">
          <cell r="O23">
            <v>20</v>
          </cell>
          <cell r="P23">
            <v>0</v>
          </cell>
          <cell r="Q23">
            <v>0</v>
          </cell>
          <cell r="R23">
            <v>0</v>
          </cell>
          <cell r="S23">
            <v>0</v>
          </cell>
        </row>
        <row r="24">
          <cell r="O24">
            <v>30</v>
          </cell>
          <cell r="P24">
            <v>50</v>
          </cell>
          <cell r="Q24">
            <v>0</v>
          </cell>
          <cell r="R24">
            <v>0</v>
          </cell>
          <cell r="S24">
            <v>0</v>
          </cell>
        </row>
        <row r="26">
          <cell r="O26">
            <v>0</v>
          </cell>
          <cell r="P26">
            <v>0</v>
          </cell>
          <cell r="Q26">
            <v>0</v>
          </cell>
          <cell r="R26">
            <v>10</v>
          </cell>
          <cell r="S26">
            <v>10</v>
          </cell>
        </row>
        <row r="27">
          <cell r="O27">
            <v>0</v>
          </cell>
          <cell r="P27">
            <v>0</v>
          </cell>
          <cell r="Q27">
            <v>0</v>
          </cell>
          <cell r="R27">
            <v>10</v>
          </cell>
          <cell r="S27">
            <v>10</v>
          </cell>
        </row>
        <row r="28">
          <cell r="O28">
            <v>0</v>
          </cell>
          <cell r="P28">
            <v>0</v>
          </cell>
          <cell r="Q28">
            <v>0</v>
          </cell>
          <cell r="R28">
            <v>10</v>
          </cell>
          <cell r="S28">
            <v>30</v>
          </cell>
        </row>
        <row r="29">
          <cell r="O29">
            <v>0</v>
          </cell>
          <cell r="P29">
            <v>0</v>
          </cell>
          <cell r="Q29">
            <v>0</v>
          </cell>
          <cell r="R29">
            <v>10</v>
          </cell>
          <cell r="S29">
            <v>30</v>
          </cell>
        </row>
        <row r="30">
          <cell r="O30">
            <v>20</v>
          </cell>
          <cell r="P30">
            <v>0</v>
          </cell>
          <cell r="Q30">
            <v>0</v>
          </cell>
          <cell r="R30">
            <v>0</v>
          </cell>
          <cell r="S30">
            <v>20</v>
          </cell>
        </row>
        <row r="31">
          <cell r="O31">
            <v>30</v>
          </cell>
          <cell r="P31">
            <v>0</v>
          </cell>
          <cell r="Q31">
            <v>0</v>
          </cell>
          <cell r="R31">
            <v>0</v>
          </cell>
          <cell r="S31">
            <v>30</v>
          </cell>
        </row>
        <row r="32">
          <cell r="O32">
            <v>0</v>
          </cell>
          <cell r="P32">
            <v>0</v>
          </cell>
          <cell r="Q32">
            <v>0</v>
          </cell>
          <cell r="R32">
            <v>10</v>
          </cell>
          <cell r="S32">
            <v>20</v>
          </cell>
        </row>
        <row r="33">
          <cell r="O33">
            <v>10</v>
          </cell>
          <cell r="P33">
            <v>0</v>
          </cell>
          <cell r="Q33">
            <v>0</v>
          </cell>
          <cell r="R33">
            <v>50</v>
          </cell>
          <cell r="S33">
            <v>40</v>
          </cell>
        </row>
        <row r="34">
          <cell r="O34">
            <v>0</v>
          </cell>
          <cell r="P34">
            <v>0</v>
          </cell>
          <cell r="Q34">
            <v>70</v>
          </cell>
          <cell r="R34">
            <v>0</v>
          </cell>
          <cell r="S34">
            <v>0</v>
          </cell>
        </row>
        <row r="35">
          <cell r="O35">
            <v>20</v>
          </cell>
          <cell r="P35">
            <v>0</v>
          </cell>
          <cell r="Q35">
            <v>40</v>
          </cell>
          <cell r="R35">
            <v>30</v>
          </cell>
          <cell r="S35">
            <v>10</v>
          </cell>
        </row>
        <row r="36">
          <cell r="O36">
            <v>0</v>
          </cell>
          <cell r="P36">
            <v>0</v>
          </cell>
          <cell r="Q36">
            <v>70</v>
          </cell>
          <cell r="R36">
            <v>30</v>
          </cell>
          <cell r="S36">
            <v>0</v>
          </cell>
        </row>
        <row r="37">
          <cell r="O37">
            <v>0</v>
          </cell>
          <cell r="P37">
            <v>0</v>
          </cell>
          <cell r="Q37">
            <v>30</v>
          </cell>
          <cell r="R37">
            <v>0</v>
          </cell>
          <cell r="S37">
            <v>30</v>
          </cell>
        </row>
        <row r="38">
          <cell r="O38">
            <v>0</v>
          </cell>
          <cell r="P38">
            <v>10</v>
          </cell>
          <cell r="Q38">
            <v>30</v>
          </cell>
          <cell r="R38">
            <v>0</v>
          </cell>
          <cell r="S38">
            <v>30</v>
          </cell>
        </row>
        <row r="39">
          <cell r="O39">
            <v>30</v>
          </cell>
          <cell r="P39">
            <v>0</v>
          </cell>
          <cell r="Q39">
            <v>0</v>
          </cell>
          <cell r="R39">
            <v>0</v>
          </cell>
          <cell r="S39">
            <v>30</v>
          </cell>
        </row>
        <row r="40">
          <cell r="O40">
            <v>30</v>
          </cell>
          <cell r="P40">
            <v>30</v>
          </cell>
          <cell r="Q40">
            <v>0</v>
          </cell>
          <cell r="R40">
            <v>0</v>
          </cell>
          <cell r="S40">
            <v>30</v>
          </cell>
        </row>
        <row r="41">
          <cell r="O41">
            <v>0</v>
          </cell>
          <cell r="P41">
            <v>0</v>
          </cell>
          <cell r="Q41">
            <v>20</v>
          </cell>
          <cell r="R41">
            <v>0</v>
          </cell>
          <cell r="S41">
            <v>10</v>
          </cell>
        </row>
        <row r="42">
          <cell r="O42">
            <v>0</v>
          </cell>
          <cell r="P42">
            <v>0</v>
          </cell>
          <cell r="Q42">
            <v>20</v>
          </cell>
          <cell r="R42">
            <v>0</v>
          </cell>
          <cell r="S42">
            <v>20</v>
          </cell>
        </row>
        <row r="43">
          <cell r="O43">
            <v>0</v>
          </cell>
          <cell r="P43">
            <v>0</v>
          </cell>
          <cell r="Q43">
            <v>20</v>
          </cell>
          <cell r="R43">
            <v>0</v>
          </cell>
          <cell r="S43">
            <v>50</v>
          </cell>
        </row>
        <row r="44">
          <cell r="O44">
            <v>20</v>
          </cell>
          <cell r="P44">
            <v>0</v>
          </cell>
          <cell r="Q44">
            <v>10</v>
          </cell>
          <cell r="R44">
            <v>0</v>
          </cell>
          <cell r="S44">
            <v>0</v>
          </cell>
        </row>
        <row r="45">
          <cell r="O45">
            <v>30</v>
          </cell>
          <cell r="P45">
            <v>0</v>
          </cell>
          <cell r="Q45">
            <v>0</v>
          </cell>
          <cell r="R45">
            <v>0</v>
          </cell>
          <cell r="S45">
            <v>10</v>
          </cell>
        </row>
        <row r="46">
          <cell r="O46">
            <v>40</v>
          </cell>
          <cell r="P46">
            <v>0</v>
          </cell>
          <cell r="Q46">
            <v>0</v>
          </cell>
          <cell r="R46">
            <v>0</v>
          </cell>
          <cell r="S46">
            <v>30</v>
          </cell>
        </row>
        <row r="47">
          <cell r="O47">
            <v>0</v>
          </cell>
          <cell r="P47">
            <v>0</v>
          </cell>
          <cell r="Q47">
            <v>70</v>
          </cell>
          <cell r="R47">
            <v>0</v>
          </cell>
          <cell r="S47">
            <v>0</v>
          </cell>
        </row>
        <row r="48">
          <cell r="O48">
            <v>0</v>
          </cell>
          <cell r="P48">
            <v>0</v>
          </cell>
          <cell r="Q48">
            <v>40</v>
          </cell>
          <cell r="R48">
            <v>10</v>
          </cell>
          <cell r="S48">
            <v>0</v>
          </cell>
        </row>
        <row r="49">
          <cell r="O49">
            <v>0</v>
          </cell>
          <cell r="P49">
            <v>10</v>
          </cell>
          <cell r="Q49">
            <v>20</v>
          </cell>
          <cell r="R49">
            <v>30</v>
          </cell>
          <cell r="S49">
            <v>0</v>
          </cell>
        </row>
        <row r="50">
          <cell r="O50">
            <v>0</v>
          </cell>
          <cell r="P50">
            <v>20</v>
          </cell>
          <cell r="Q50">
            <v>40</v>
          </cell>
          <cell r="R50">
            <v>0</v>
          </cell>
          <cell r="S50">
            <v>0</v>
          </cell>
        </row>
        <row r="51">
          <cell r="O51">
            <v>0</v>
          </cell>
          <cell r="P51">
            <v>50</v>
          </cell>
          <cell r="Q51">
            <v>10</v>
          </cell>
          <cell r="R51">
            <v>30</v>
          </cell>
          <cell r="S51">
            <v>0</v>
          </cell>
        </row>
        <row r="52">
          <cell r="O52">
            <v>0</v>
          </cell>
          <cell r="P52">
            <v>60</v>
          </cell>
          <cell r="Q52">
            <v>30</v>
          </cell>
          <cell r="R52">
            <v>0</v>
          </cell>
          <cell r="S52">
            <v>0</v>
          </cell>
        </row>
        <row r="53">
          <cell r="O53">
            <v>0</v>
          </cell>
          <cell r="P53">
            <v>0</v>
          </cell>
          <cell r="Q53">
            <v>70</v>
          </cell>
          <cell r="R53">
            <v>0</v>
          </cell>
          <cell r="S53">
            <v>0</v>
          </cell>
        </row>
        <row r="54">
          <cell r="O54">
            <v>0</v>
          </cell>
          <cell r="P54">
            <v>0</v>
          </cell>
          <cell r="Q54">
            <v>50</v>
          </cell>
          <cell r="R54">
            <v>0</v>
          </cell>
          <cell r="S54">
            <v>20</v>
          </cell>
        </row>
        <row r="55">
          <cell r="O55">
            <v>0</v>
          </cell>
          <cell r="P55">
            <v>0</v>
          </cell>
          <cell r="Q55">
            <v>0</v>
          </cell>
          <cell r="R55">
            <v>20</v>
          </cell>
          <cell r="S55">
            <v>0</v>
          </cell>
        </row>
        <row r="56">
          <cell r="O56">
            <v>0</v>
          </cell>
          <cell r="P56">
            <v>0</v>
          </cell>
          <cell r="Q56">
            <v>0</v>
          </cell>
          <cell r="R56">
            <v>20</v>
          </cell>
          <cell r="S56">
            <v>10</v>
          </cell>
        </row>
        <row r="57">
          <cell r="O57">
            <v>0</v>
          </cell>
          <cell r="P57">
            <v>0</v>
          </cell>
          <cell r="Q57">
            <v>10</v>
          </cell>
          <cell r="R57">
            <v>30</v>
          </cell>
          <cell r="S57">
            <v>0</v>
          </cell>
        </row>
        <row r="58">
          <cell r="O58">
            <v>0</v>
          </cell>
          <cell r="P58">
            <v>0</v>
          </cell>
          <cell r="Q58">
            <v>0</v>
          </cell>
          <cell r="R58">
            <v>50</v>
          </cell>
          <cell r="S58">
            <v>10</v>
          </cell>
        </row>
        <row r="59">
          <cell r="O59">
            <v>0</v>
          </cell>
          <cell r="P59">
            <v>10</v>
          </cell>
          <cell r="Q59">
            <v>0</v>
          </cell>
          <cell r="R59">
            <v>70</v>
          </cell>
          <cell r="S59">
            <v>0</v>
          </cell>
        </row>
        <row r="60">
          <cell r="O60">
            <v>0</v>
          </cell>
          <cell r="P60">
            <v>0</v>
          </cell>
          <cell r="Q60">
            <v>0</v>
          </cell>
          <cell r="R60">
            <v>30</v>
          </cell>
          <cell r="S60">
            <v>0</v>
          </cell>
        </row>
        <row r="61">
          <cell r="O61">
            <v>0</v>
          </cell>
          <cell r="P61">
            <v>0</v>
          </cell>
          <cell r="Q61">
            <v>0</v>
          </cell>
          <cell r="R61">
            <v>50</v>
          </cell>
          <cell r="S61">
            <v>0</v>
          </cell>
        </row>
        <row r="62">
          <cell r="O62">
            <v>0</v>
          </cell>
          <cell r="P62">
            <v>0</v>
          </cell>
          <cell r="Q62">
            <v>20</v>
          </cell>
          <cell r="R62">
            <v>10</v>
          </cell>
          <cell r="S62">
            <v>0</v>
          </cell>
        </row>
        <row r="63">
          <cell r="O63">
            <v>0</v>
          </cell>
          <cell r="P63">
            <v>10</v>
          </cell>
          <cell r="Q63">
            <v>20</v>
          </cell>
          <cell r="R63">
            <v>20</v>
          </cell>
          <cell r="S63">
            <v>0</v>
          </cell>
        </row>
        <row r="64">
          <cell r="O64">
            <v>0</v>
          </cell>
          <cell r="P64">
            <v>0</v>
          </cell>
          <cell r="Q64">
            <v>30</v>
          </cell>
          <cell r="R64">
            <v>0</v>
          </cell>
          <cell r="S64">
            <v>0</v>
          </cell>
        </row>
        <row r="65">
          <cell r="O65">
            <v>0</v>
          </cell>
          <cell r="P65">
            <v>0</v>
          </cell>
          <cell r="Q65">
            <v>20</v>
          </cell>
          <cell r="R65">
            <v>0</v>
          </cell>
          <cell r="S65">
            <v>10</v>
          </cell>
        </row>
        <row r="66">
          <cell r="O66">
            <v>0</v>
          </cell>
          <cell r="P66">
            <v>0</v>
          </cell>
          <cell r="Q66">
            <v>10</v>
          </cell>
          <cell r="R66">
            <v>30</v>
          </cell>
          <cell r="S66">
            <v>0</v>
          </cell>
        </row>
        <row r="67">
          <cell r="O67">
            <v>0</v>
          </cell>
          <cell r="P67">
            <v>20</v>
          </cell>
          <cell r="Q67">
            <v>0</v>
          </cell>
          <cell r="R67">
            <v>20</v>
          </cell>
          <cell r="S67">
            <v>0</v>
          </cell>
        </row>
        <row r="68">
          <cell r="O68">
            <v>10</v>
          </cell>
          <cell r="P68">
            <v>0</v>
          </cell>
          <cell r="Q68">
            <v>40</v>
          </cell>
          <cell r="R68">
            <v>10</v>
          </cell>
          <cell r="S68">
            <v>0</v>
          </cell>
        </row>
        <row r="69">
          <cell r="O69">
            <v>0</v>
          </cell>
          <cell r="P69">
            <v>20</v>
          </cell>
          <cell r="Q69">
            <v>20</v>
          </cell>
          <cell r="R69">
            <v>20</v>
          </cell>
          <cell r="S69">
            <v>0</v>
          </cell>
        </row>
        <row r="70">
          <cell r="O70">
            <v>0</v>
          </cell>
          <cell r="P70">
            <v>0</v>
          </cell>
          <cell r="Q70">
            <v>10</v>
          </cell>
          <cell r="R70">
            <v>20</v>
          </cell>
          <cell r="S70">
            <v>30</v>
          </cell>
        </row>
        <row r="71">
          <cell r="O71">
            <v>30</v>
          </cell>
          <cell r="P71">
            <v>50</v>
          </cell>
          <cell r="Q71">
            <v>0</v>
          </cell>
          <cell r="R71">
            <v>10</v>
          </cell>
          <cell r="S71">
            <v>30</v>
          </cell>
        </row>
        <row r="72">
          <cell r="O72">
            <v>10</v>
          </cell>
          <cell r="P72">
            <v>50</v>
          </cell>
          <cell r="Q72">
            <v>0</v>
          </cell>
          <cell r="R72">
            <v>30</v>
          </cell>
          <cell r="S72">
            <v>30</v>
          </cell>
        </row>
        <row r="73">
          <cell r="O73">
            <v>0</v>
          </cell>
          <cell r="P73">
            <v>0</v>
          </cell>
          <cell r="Q73">
            <v>30</v>
          </cell>
          <cell r="R73">
            <v>30</v>
          </cell>
          <cell r="S73">
            <v>0</v>
          </cell>
        </row>
        <row r="74">
          <cell r="O74">
            <v>20</v>
          </cell>
          <cell r="P74">
            <v>10</v>
          </cell>
          <cell r="Q74">
            <v>0</v>
          </cell>
          <cell r="R74">
            <v>50</v>
          </cell>
          <cell r="S74">
            <v>0</v>
          </cell>
        </row>
        <row r="75">
          <cell r="O75">
            <v>20</v>
          </cell>
          <cell r="P75">
            <v>0</v>
          </cell>
          <cell r="Q75">
            <v>10</v>
          </cell>
          <cell r="R75">
            <v>0</v>
          </cell>
          <cell r="S75">
            <v>30</v>
          </cell>
        </row>
        <row r="76">
          <cell r="O76">
            <v>30</v>
          </cell>
          <cell r="P76">
            <v>0</v>
          </cell>
          <cell r="Q76">
            <v>0</v>
          </cell>
          <cell r="R76">
            <v>0</v>
          </cell>
          <cell r="S76">
            <v>50</v>
          </cell>
        </row>
        <row r="77">
          <cell r="O77">
            <v>20</v>
          </cell>
          <cell r="P77">
            <v>10</v>
          </cell>
          <cell r="Q77">
            <v>50</v>
          </cell>
          <cell r="R77">
            <v>0</v>
          </cell>
          <cell r="S77">
            <v>10</v>
          </cell>
        </row>
        <row r="78">
          <cell r="O78">
            <v>70</v>
          </cell>
          <cell r="P78">
            <v>40</v>
          </cell>
          <cell r="Q78">
            <v>10</v>
          </cell>
          <cell r="R78">
            <v>0</v>
          </cell>
          <cell r="S78">
            <v>40</v>
          </cell>
        </row>
        <row r="79">
          <cell r="O79">
            <v>0</v>
          </cell>
          <cell r="P79">
            <v>0</v>
          </cell>
          <cell r="Q79">
            <v>30</v>
          </cell>
          <cell r="R79">
            <v>30</v>
          </cell>
          <cell r="S79">
            <v>0</v>
          </cell>
        </row>
        <row r="80">
          <cell r="O80">
            <v>0</v>
          </cell>
          <cell r="P80">
            <v>0</v>
          </cell>
          <cell r="Q80">
            <v>50</v>
          </cell>
          <cell r="R80">
            <v>50</v>
          </cell>
          <cell r="S80">
            <v>0</v>
          </cell>
        </row>
        <row r="81">
          <cell r="O81">
            <v>20</v>
          </cell>
          <cell r="P81">
            <v>0</v>
          </cell>
          <cell r="Q81">
            <v>0</v>
          </cell>
          <cell r="R81">
            <v>30</v>
          </cell>
          <cell r="S81">
            <v>50</v>
          </cell>
        </row>
        <row r="82">
          <cell r="O82">
            <v>0</v>
          </cell>
          <cell r="P82">
            <v>0</v>
          </cell>
          <cell r="Q82">
            <v>10</v>
          </cell>
          <cell r="R82">
            <v>30</v>
          </cell>
          <cell r="S82">
            <v>0</v>
          </cell>
        </row>
        <row r="83">
          <cell r="O83">
            <v>0</v>
          </cell>
          <cell r="P83">
            <v>0</v>
          </cell>
          <cell r="Q83">
            <v>0</v>
          </cell>
          <cell r="R83">
            <v>50</v>
          </cell>
          <cell r="S83">
            <v>0</v>
          </cell>
        </row>
        <row r="84">
          <cell r="O84">
            <v>10</v>
          </cell>
          <cell r="P84">
            <v>0</v>
          </cell>
          <cell r="Q84">
            <v>0</v>
          </cell>
          <cell r="R84">
            <v>70</v>
          </cell>
          <cell r="S84">
            <v>0</v>
          </cell>
        </row>
        <row r="86">
          <cell r="O86">
            <v>20</v>
          </cell>
          <cell r="P86">
            <v>0</v>
          </cell>
          <cell r="Q86">
            <v>10</v>
          </cell>
          <cell r="R86">
            <v>0</v>
          </cell>
          <cell r="S86">
            <v>30</v>
          </cell>
        </row>
        <row r="87">
          <cell r="O87">
            <v>50</v>
          </cell>
          <cell r="P87">
            <v>0</v>
          </cell>
          <cell r="Q87">
            <v>0</v>
          </cell>
          <cell r="R87">
            <v>0</v>
          </cell>
          <cell r="S87">
            <v>30</v>
          </cell>
        </row>
        <row r="88">
          <cell r="O88">
            <v>70</v>
          </cell>
          <cell r="P88">
            <v>0</v>
          </cell>
          <cell r="Q88">
            <v>0</v>
          </cell>
          <cell r="R88">
            <v>0</v>
          </cell>
          <cell r="S88">
            <v>50</v>
          </cell>
        </row>
        <row r="89">
          <cell r="O89">
            <v>0</v>
          </cell>
          <cell r="P89">
            <v>0</v>
          </cell>
          <cell r="Q89">
            <v>10</v>
          </cell>
          <cell r="R89">
            <v>10</v>
          </cell>
          <cell r="S89">
            <v>0</v>
          </cell>
        </row>
        <row r="90">
          <cell r="O90">
            <v>0</v>
          </cell>
          <cell r="P90">
            <v>0</v>
          </cell>
          <cell r="Q90">
            <v>20</v>
          </cell>
          <cell r="R90">
            <v>20</v>
          </cell>
          <cell r="S90">
            <v>0</v>
          </cell>
        </row>
        <row r="91">
          <cell r="O91">
            <v>10</v>
          </cell>
          <cell r="P91">
            <v>0</v>
          </cell>
          <cell r="Q91">
            <v>0</v>
          </cell>
          <cell r="R91">
            <v>50</v>
          </cell>
          <cell r="S91">
            <v>10</v>
          </cell>
        </row>
        <row r="92">
          <cell r="O92">
            <v>0</v>
          </cell>
          <cell r="P92">
            <v>20</v>
          </cell>
          <cell r="Q92">
            <v>10</v>
          </cell>
          <cell r="R92">
            <v>0</v>
          </cell>
          <cell r="S92">
            <v>0</v>
          </cell>
        </row>
        <row r="93">
          <cell r="O93">
            <v>30</v>
          </cell>
          <cell r="P93">
            <v>20</v>
          </cell>
          <cell r="Q93">
            <v>0</v>
          </cell>
          <cell r="R93">
            <v>0</v>
          </cell>
          <cell r="S93">
            <v>10</v>
          </cell>
        </row>
        <row r="94">
          <cell r="O94">
            <v>0</v>
          </cell>
          <cell r="P94">
            <v>0</v>
          </cell>
          <cell r="Q94">
            <v>0</v>
          </cell>
          <cell r="R94">
            <v>0</v>
          </cell>
          <cell r="S94">
            <v>30</v>
          </cell>
        </row>
        <row r="95">
          <cell r="O95">
            <v>10</v>
          </cell>
          <cell r="P95">
            <v>0</v>
          </cell>
          <cell r="Q95">
            <v>0</v>
          </cell>
          <cell r="R95">
            <v>0</v>
          </cell>
          <cell r="S95">
            <v>20</v>
          </cell>
        </row>
        <row r="96">
          <cell r="O96">
            <v>0</v>
          </cell>
          <cell r="P96">
            <v>0</v>
          </cell>
          <cell r="Q96">
            <v>0</v>
          </cell>
          <cell r="R96">
            <v>0</v>
          </cell>
          <cell r="S96">
            <v>50</v>
          </cell>
        </row>
        <row r="97">
          <cell r="O97">
            <v>10</v>
          </cell>
          <cell r="P97">
            <v>0</v>
          </cell>
          <cell r="Q97">
            <v>0</v>
          </cell>
          <cell r="R97">
            <v>0</v>
          </cell>
          <cell r="S97">
            <v>40</v>
          </cell>
        </row>
        <row r="98">
          <cell r="O98">
            <v>0</v>
          </cell>
          <cell r="P98">
            <v>0</v>
          </cell>
          <cell r="Q98">
            <v>0</v>
          </cell>
          <cell r="R98">
            <v>0</v>
          </cell>
          <cell r="S98">
            <v>70</v>
          </cell>
        </row>
        <row r="99">
          <cell r="O99">
            <v>20</v>
          </cell>
          <cell r="P99">
            <v>0</v>
          </cell>
          <cell r="Q99">
            <v>0</v>
          </cell>
          <cell r="R99">
            <v>0</v>
          </cell>
          <cell r="S99">
            <v>50</v>
          </cell>
        </row>
        <row r="100">
          <cell r="O100">
            <v>30</v>
          </cell>
          <cell r="P100">
            <v>30</v>
          </cell>
          <cell r="Q100">
            <v>30</v>
          </cell>
          <cell r="R100">
            <v>0</v>
          </cell>
          <cell r="S100">
            <v>0</v>
          </cell>
        </row>
        <row r="101">
          <cell r="O101">
            <v>0</v>
          </cell>
          <cell r="P101">
            <v>30</v>
          </cell>
          <cell r="Q101">
            <v>50</v>
          </cell>
          <cell r="R101">
            <v>10</v>
          </cell>
          <cell r="S101">
            <v>0</v>
          </cell>
        </row>
        <row r="102">
          <cell r="O102">
            <v>50</v>
          </cell>
          <cell r="P102">
            <v>50</v>
          </cell>
          <cell r="Q102">
            <v>0</v>
          </cell>
          <cell r="R102">
            <v>0</v>
          </cell>
          <cell r="S102">
            <v>30</v>
          </cell>
        </row>
        <row r="103">
          <cell r="O103">
            <v>0</v>
          </cell>
          <cell r="P103">
            <v>50</v>
          </cell>
          <cell r="Q103">
            <v>30</v>
          </cell>
          <cell r="R103">
            <v>20</v>
          </cell>
          <cell r="S103">
            <v>30</v>
          </cell>
        </row>
        <row r="104">
          <cell r="O104">
            <v>0</v>
          </cell>
          <cell r="P104">
            <v>0</v>
          </cell>
          <cell r="Q104">
            <v>30</v>
          </cell>
          <cell r="R104">
            <v>0</v>
          </cell>
          <cell r="S104">
            <v>0</v>
          </cell>
        </row>
        <row r="105">
          <cell r="O105">
            <v>0</v>
          </cell>
          <cell r="P105">
            <v>0</v>
          </cell>
          <cell r="Q105">
            <v>10</v>
          </cell>
          <cell r="R105">
            <v>30</v>
          </cell>
          <cell r="S105">
            <v>10</v>
          </cell>
        </row>
        <row r="107">
          <cell r="O107">
            <v>0</v>
          </cell>
          <cell r="P107">
            <v>0</v>
          </cell>
          <cell r="Q107">
            <v>0</v>
          </cell>
          <cell r="R107">
            <v>30</v>
          </cell>
          <cell r="S107">
            <v>10</v>
          </cell>
        </row>
        <row r="108">
          <cell r="O108">
            <v>0</v>
          </cell>
          <cell r="P108">
            <v>0</v>
          </cell>
          <cell r="Q108">
            <v>0</v>
          </cell>
          <cell r="R108">
            <v>50</v>
          </cell>
          <cell r="S108">
            <v>10</v>
          </cell>
        </row>
        <row r="109">
          <cell r="O109">
            <v>0</v>
          </cell>
          <cell r="P109">
            <v>0</v>
          </cell>
          <cell r="Q109">
            <v>10</v>
          </cell>
          <cell r="R109">
            <v>10</v>
          </cell>
          <cell r="S109">
            <v>0</v>
          </cell>
        </row>
        <row r="110">
          <cell r="O110">
            <v>0</v>
          </cell>
          <cell r="P110">
            <v>0</v>
          </cell>
          <cell r="Q110">
            <v>0</v>
          </cell>
          <cell r="R110">
            <v>10</v>
          </cell>
          <cell r="S110">
            <v>10</v>
          </cell>
        </row>
        <row r="111">
          <cell r="O111">
            <v>20</v>
          </cell>
          <cell r="P111">
            <v>0</v>
          </cell>
          <cell r="Q111">
            <v>0</v>
          </cell>
          <cell r="R111">
            <v>10</v>
          </cell>
          <cell r="S111">
            <v>0</v>
          </cell>
        </row>
        <row r="112">
          <cell r="O112">
            <v>40</v>
          </cell>
          <cell r="P112">
            <v>0</v>
          </cell>
          <cell r="Q112">
            <v>0</v>
          </cell>
          <cell r="R112">
            <v>30</v>
          </cell>
          <cell r="S112">
            <v>10</v>
          </cell>
        </row>
        <row r="113">
          <cell r="O113">
            <v>0</v>
          </cell>
          <cell r="P113">
            <v>10</v>
          </cell>
          <cell r="Q113">
            <v>20</v>
          </cell>
          <cell r="R113">
            <v>0</v>
          </cell>
          <cell r="S113">
            <v>0</v>
          </cell>
        </row>
        <row r="114">
          <cell r="O114">
            <v>0</v>
          </cell>
          <cell r="P114">
            <v>50</v>
          </cell>
          <cell r="Q114">
            <v>30</v>
          </cell>
          <cell r="R114">
            <v>0</v>
          </cell>
          <cell r="S114">
            <v>10</v>
          </cell>
        </row>
        <row r="115">
          <cell r="O115">
            <v>0</v>
          </cell>
          <cell r="P115">
            <v>0</v>
          </cell>
          <cell r="Q115">
            <v>10</v>
          </cell>
          <cell r="R115">
            <v>0</v>
          </cell>
          <cell r="S115">
            <v>0</v>
          </cell>
        </row>
        <row r="116">
          <cell r="O116">
            <v>0</v>
          </cell>
          <cell r="P116">
            <v>0</v>
          </cell>
          <cell r="Q116">
            <v>20</v>
          </cell>
          <cell r="R116">
            <v>10</v>
          </cell>
          <cell r="S116">
            <v>0</v>
          </cell>
        </row>
        <row r="117">
          <cell r="O117">
            <v>0</v>
          </cell>
          <cell r="P117">
            <v>0</v>
          </cell>
          <cell r="Q117">
            <v>0</v>
          </cell>
          <cell r="R117">
            <v>20</v>
          </cell>
          <cell r="S117">
            <v>10</v>
          </cell>
        </row>
        <row r="118">
          <cell r="O118">
            <v>0</v>
          </cell>
          <cell r="P118">
            <v>30</v>
          </cell>
          <cell r="Q118">
            <v>0</v>
          </cell>
          <cell r="R118">
            <v>30</v>
          </cell>
          <cell r="S118">
            <v>0</v>
          </cell>
        </row>
        <row r="119">
          <cell r="O119">
            <v>0</v>
          </cell>
          <cell r="P119">
            <v>0</v>
          </cell>
          <cell r="Q119">
            <v>10</v>
          </cell>
          <cell r="R119">
            <v>10</v>
          </cell>
          <cell r="S119">
            <v>10</v>
          </cell>
        </row>
        <row r="120">
          <cell r="O120">
            <v>20</v>
          </cell>
          <cell r="P120">
            <v>0</v>
          </cell>
          <cell r="Q120">
            <v>0</v>
          </cell>
          <cell r="R120">
            <v>20</v>
          </cell>
          <cell r="S120">
            <v>50</v>
          </cell>
        </row>
        <row r="121">
          <cell r="O121">
            <v>0</v>
          </cell>
          <cell r="P121">
            <v>0</v>
          </cell>
          <cell r="Q121">
            <v>0</v>
          </cell>
          <cell r="R121">
            <v>10</v>
          </cell>
          <cell r="S121">
            <v>0</v>
          </cell>
        </row>
        <row r="122">
          <cell r="O122">
            <v>0</v>
          </cell>
          <cell r="P122">
            <v>0</v>
          </cell>
          <cell r="Q122">
            <v>0</v>
          </cell>
          <cell r="R122">
            <v>30</v>
          </cell>
          <cell r="S122">
            <v>0</v>
          </cell>
        </row>
        <row r="123">
          <cell r="O123">
            <v>30</v>
          </cell>
          <cell r="P123">
            <v>0</v>
          </cell>
          <cell r="Q123">
            <v>0</v>
          </cell>
          <cell r="R123">
            <v>70</v>
          </cell>
          <cell r="S123">
            <v>0</v>
          </cell>
        </row>
        <row r="125">
          <cell r="O125">
            <v>0</v>
          </cell>
          <cell r="P125">
            <v>0</v>
          </cell>
          <cell r="Q125">
            <v>0</v>
          </cell>
          <cell r="R125">
            <v>0</v>
          </cell>
          <cell r="S125">
            <v>50</v>
          </cell>
        </row>
        <row r="126">
          <cell r="O126">
            <v>0</v>
          </cell>
          <cell r="P126">
            <v>0</v>
          </cell>
          <cell r="Q126">
            <v>0</v>
          </cell>
          <cell r="R126">
            <v>30</v>
          </cell>
          <cell r="S126">
            <v>0</v>
          </cell>
        </row>
        <row r="127">
          <cell r="O127">
            <v>0</v>
          </cell>
          <cell r="P127">
            <v>10</v>
          </cell>
          <cell r="Q127">
            <v>0</v>
          </cell>
          <cell r="R127">
            <v>50</v>
          </cell>
          <cell r="S127">
            <v>0</v>
          </cell>
        </row>
        <row r="128">
          <cell r="O128">
            <v>30</v>
          </cell>
          <cell r="P128">
            <v>0</v>
          </cell>
          <cell r="Q128">
            <v>0</v>
          </cell>
          <cell r="R128">
            <v>0</v>
          </cell>
          <cell r="S128">
            <v>0</v>
          </cell>
        </row>
        <row r="129">
          <cell r="O129">
            <v>50</v>
          </cell>
          <cell r="P129">
            <v>0</v>
          </cell>
          <cell r="Q129">
            <v>0</v>
          </cell>
          <cell r="R129">
            <v>0</v>
          </cell>
          <cell r="S129">
            <v>30</v>
          </cell>
        </row>
        <row r="130">
          <cell r="O130">
            <v>10</v>
          </cell>
          <cell r="P130">
            <v>0</v>
          </cell>
          <cell r="Q130">
            <v>0</v>
          </cell>
          <cell r="R130">
            <v>10</v>
          </cell>
          <cell r="S130">
            <v>0</v>
          </cell>
        </row>
        <row r="131">
          <cell r="O131">
            <v>0</v>
          </cell>
          <cell r="P131">
            <v>0</v>
          </cell>
          <cell r="Q131">
            <v>10</v>
          </cell>
          <cell r="R131">
            <v>20</v>
          </cell>
          <cell r="S131">
            <v>0</v>
          </cell>
        </row>
        <row r="132">
          <cell r="O132">
            <v>0</v>
          </cell>
          <cell r="P132">
            <v>0</v>
          </cell>
          <cell r="Q132">
            <v>0</v>
          </cell>
          <cell r="R132">
            <v>20</v>
          </cell>
          <cell r="S132">
            <v>20</v>
          </cell>
        </row>
        <row r="133">
          <cell r="O133">
            <v>0</v>
          </cell>
          <cell r="P133">
            <v>0</v>
          </cell>
          <cell r="Q133">
            <v>0</v>
          </cell>
          <cell r="R133">
            <v>30</v>
          </cell>
          <cell r="S133">
            <v>20</v>
          </cell>
        </row>
        <row r="134">
          <cell r="O134">
            <v>40</v>
          </cell>
          <cell r="P134">
            <v>0</v>
          </cell>
          <cell r="Q134">
            <v>0</v>
          </cell>
          <cell r="R134">
            <v>30</v>
          </cell>
          <cell r="S134">
            <v>20</v>
          </cell>
        </row>
        <row r="135">
          <cell r="O135">
            <v>0</v>
          </cell>
          <cell r="P135">
            <v>0</v>
          </cell>
          <cell r="Q135">
            <v>30</v>
          </cell>
          <cell r="R135">
            <v>0</v>
          </cell>
          <cell r="S135">
            <v>30</v>
          </cell>
        </row>
        <row r="136">
          <cell r="O136">
            <v>10</v>
          </cell>
          <cell r="P136">
            <v>0</v>
          </cell>
          <cell r="Q136">
            <v>0</v>
          </cell>
          <cell r="R136">
            <v>0</v>
          </cell>
          <cell r="S136">
            <v>50</v>
          </cell>
        </row>
        <row r="137">
          <cell r="O137">
            <v>30</v>
          </cell>
          <cell r="P137">
            <v>20</v>
          </cell>
          <cell r="Q137">
            <v>0</v>
          </cell>
          <cell r="R137">
            <v>0</v>
          </cell>
          <cell r="S137">
            <v>10</v>
          </cell>
        </row>
        <row r="138">
          <cell r="O138">
            <v>30</v>
          </cell>
          <cell r="P138">
            <v>0</v>
          </cell>
          <cell r="Q138">
            <v>0</v>
          </cell>
          <cell r="R138">
            <v>10</v>
          </cell>
          <cell r="S138">
            <v>30</v>
          </cell>
        </row>
        <row r="139">
          <cell r="O139">
            <v>20</v>
          </cell>
          <cell r="P139">
            <v>0</v>
          </cell>
          <cell r="Q139">
            <v>10</v>
          </cell>
          <cell r="R139">
            <v>10</v>
          </cell>
          <cell r="S139">
            <v>30</v>
          </cell>
        </row>
        <row r="140">
          <cell r="O140">
            <v>0</v>
          </cell>
          <cell r="P140">
            <v>0</v>
          </cell>
          <cell r="Q140">
            <v>30</v>
          </cell>
          <cell r="R140">
            <v>20</v>
          </cell>
          <cell r="S140">
            <v>0</v>
          </cell>
        </row>
        <row r="141">
          <cell r="O141">
            <v>0</v>
          </cell>
          <cell r="P141">
            <v>0</v>
          </cell>
          <cell r="Q141">
            <v>10</v>
          </cell>
          <cell r="R141">
            <v>10</v>
          </cell>
          <cell r="S141">
            <v>0</v>
          </cell>
        </row>
        <row r="142">
          <cell r="O142">
            <v>0</v>
          </cell>
          <cell r="P142">
            <v>0</v>
          </cell>
          <cell r="Q142">
            <v>0</v>
          </cell>
          <cell r="R142">
            <v>20</v>
          </cell>
          <cell r="S142">
            <v>20</v>
          </cell>
        </row>
        <row r="143">
          <cell r="O143">
            <v>0</v>
          </cell>
          <cell r="P143">
            <v>0</v>
          </cell>
          <cell r="Q143">
            <v>20</v>
          </cell>
          <cell r="R143">
            <v>20</v>
          </cell>
          <cell r="S143">
            <v>0</v>
          </cell>
        </row>
        <row r="144">
          <cell r="O144">
            <v>0</v>
          </cell>
          <cell r="P144">
            <v>0</v>
          </cell>
          <cell r="Q144">
            <v>0</v>
          </cell>
          <cell r="R144">
            <v>0</v>
          </cell>
          <cell r="S144">
            <v>50</v>
          </cell>
        </row>
        <row r="145">
          <cell r="O145">
            <v>20</v>
          </cell>
          <cell r="P145">
            <v>0</v>
          </cell>
          <cell r="Q145">
            <v>0</v>
          </cell>
          <cell r="R145">
            <v>0</v>
          </cell>
          <cell r="S145">
            <v>70</v>
          </cell>
        </row>
        <row r="146">
          <cell r="O146">
            <v>0</v>
          </cell>
          <cell r="P146">
            <v>10</v>
          </cell>
          <cell r="Q146">
            <v>40</v>
          </cell>
          <cell r="R146">
            <v>0</v>
          </cell>
          <cell r="S146">
            <v>0</v>
          </cell>
        </row>
        <row r="147">
          <cell r="O147">
            <v>10</v>
          </cell>
          <cell r="P147">
            <v>0</v>
          </cell>
          <cell r="Q147">
            <v>10</v>
          </cell>
          <cell r="R147">
            <v>20</v>
          </cell>
          <cell r="S147">
            <v>0</v>
          </cell>
        </row>
        <row r="148">
          <cell r="O148">
            <v>30</v>
          </cell>
          <cell r="P148">
            <v>0</v>
          </cell>
          <cell r="Q148">
            <v>20</v>
          </cell>
          <cell r="R148">
            <v>0</v>
          </cell>
          <cell r="S148">
            <v>30</v>
          </cell>
        </row>
        <row r="150">
          <cell r="O150">
            <v>10</v>
          </cell>
          <cell r="P150">
            <v>0</v>
          </cell>
          <cell r="Q150">
            <v>10</v>
          </cell>
          <cell r="R150">
            <v>10</v>
          </cell>
          <cell r="S150">
            <v>0</v>
          </cell>
        </row>
        <row r="151">
          <cell r="O151">
            <v>10</v>
          </cell>
          <cell r="P151">
            <v>0</v>
          </cell>
          <cell r="Q151">
            <v>0</v>
          </cell>
          <cell r="R151">
            <v>30</v>
          </cell>
          <cell r="S151">
            <v>10</v>
          </cell>
        </row>
        <row r="152">
          <cell r="O152">
            <v>10</v>
          </cell>
          <cell r="P152">
            <v>50</v>
          </cell>
          <cell r="Q152">
            <v>30</v>
          </cell>
          <cell r="R152">
            <v>0</v>
          </cell>
          <cell r="S152">
            <v>0</v>
          </cell>
        </row>
        <row r="153">
          <cell r="O153">
            <v>30</v>
          </cell>
          <cell r="P153">
            <v>70</v>
          </cell>
          <cell r="Q153">
            <v>20</v>
          </cell>
          <cell r="R153">
            <v>0</v>
          </cell>
          <cell r="S153">
            <v>0</v>
          </cell>
        </row>
        <row r="154">
          <cell r="O154">
            <v>0</v>
          </cell>
          <cell r="P154">
            <v>10</v>
          </cell>
          <cell r="Q154">
            <v>0</v>
          </cell>
          <cell r="R154">
            <v>30</v>
          </cell>
          <cell r="S154">
            <v>0</v>
          </cell>
        </row>
        <row r="155">
          <cell r="O155">
            <v>0</v>
          </cell>
          <cell r="P155">
            <v>30</v>
          </cell>
          <cell r="Q155">
            <v>0</v>
          </cell>
          <cell r="R155">
            <v>50</v>
          </cell>
          <cell r="S155">
            <v>0</v>
          </cell>
        </row>
        <row r="156">
          <cell r="O156">
            <v>0</v>
          </cell>
          <cell r="P156">
            <v>0</v>
          </cell>
          <cell r="Q156">
            <v>20</v>
          </cell>
          <cell r="R156">
            <v>40</v>
          </cell>
          <cell r="S156">
            <v>0</v>
          </cell>
        </row>
        <row r="157">
          <cell r="O157">
            <v>20</v>
          </cell>
          <cell r="P157">
            <v>0</v>
          </cell>
          <cell r="Q157">
            <v>10</v>
          </cell>
          <cell r="R157">
            <v>30</v>
          </cell>
          <cell r="S157">
            <v>0</v>
          </cell>
        </row>
        <row r="158">
          <cell r="O158">
            <v>60</v>
          </cell>
          <cell r="P158">
            <v>0</v>
          </cell>
          <cell r="Q158">
            <v>0</v>
          </cell>
          <cell r="R158">
            <v>0</v>
          </cell>
          <cell r="S158">
            <v>10</v>
          </cell>
        </row>
        <row r="159">
          <cell r="O159">
            <v>0</v>
          </cell>
          <cell r="P159">
            <v>20</v>
          </cell>
          <cell r="Q159">
            <v>0</v>
          </cell>
          <cell r="R159">
            <v>20</v>
          </cell>
          <cell r="S159">
            <v>0</v>
          </cell>
        </row>
        <row r="160">
          <cell r="O160">
            <v>30</v>
          </cell>
          <cell r="P160">
            <v>0</v>
          </cell>
          <cell r="Q160">
            <v>0</v>
          </cell>
          <cell r="R160">
            <v>0</v>
          </cell>
          <cell r="S160">
            <v>10</v>
          </cell>
        </row>
        <row r="161">
          <cell r="O161">
            <v>30</v>
          </cell>
          <cell r="P161">
            <v>10</v>
          </cell>
          <cell r="Q161">
            <v>0</v>
          </cell>
          <cell r="R161">
            <v>0</v>
          </cell>
          <cell r="S161">
            <v>0</v>
          </cell>
        </row>
        <row r="162">
          <cell r="O162">
            <v>30</v>
          </cell>
          <cell r="P162">
            <v>0</v>
          </cell>
          <cell r="Q162">
            <v>0</v>
          </cell>
          <cell r="R162">
            <v>0</v>
          </cell>
          <cell r="S162">
            <v>30</v>
          </cell>
        </row>
        <row r="164">
          <cell r="O164">
            <v>30</v>
          </cell>
          <cell r="P164">
            <v>0</v>
          </cell>
          <cell r="Q164">
            <v>0</v>
          </cell>
          <cell r="R164">
            <v>0</v>
          </cell>
          <cell r="S164">
            <v>40</v>
          </cell>
        </row>
        <row r="165">
          <cell r="O165">
            <v>0</v>
          </cell>
          <cell r="P165">
            <v>0</v>
          </cell>
          <cell r="Q165">
            <v>10</v>
          </cell>
          <cell r="R165">
            <v>0</v>
          </cell>
          <cell r="S165">
            <v>0</v>
          </cell>
        </row>
        <row r="166">
          <cell r="O166">
            <v>50</v>
          </cell>
          <cell r="P166">
            <v>0</v>
          </cell>
          <cell r="Q166">
            <v>0</v>
          </cell>
          <cell r="R166">
            <v>0</v>
          </cell>
          <cell r="S166">
            <v>70</v>
          </cell>
        </row>
        <row r="168">
          <cell r="O168">
            <v>0</v>
          </cell>
          <cell r="P168">
            <v>60</v>
          </cell>
          <cell r="Q168">
            <v>20</v>
          </cell>
          <cell r="R168">
            <v>0</v>
          </cell>
          <cell r="S168">
            <v>10</v>
          </cell>
        </row>
        <row r="169">
          <cell r="O169">
            <v>0</v>
          </cell>
          <cell r="P169">
            <v>0</v>
          </cell>
          <cell r="Q169">
            <v>0</v>
          </cell>
          <cell r="R169">
            <v>0</v>
          </cell>
          <cell r="S169">
            <v>0</v>
          </cell>
        </row>
        <row r="170">
          <cell r="O170">
            <v>0</v>
          </cell>
          <cell r="P170">
            <v>0</v>
          </cell>
          <cell r="Q170">
            <v>100</v>
          </cell>
          <cell r="R170">
            <v>0</v>
          </cell>
          <cell r="S170">
            <v>0</v>
          </cell>
        </row>
        <row r="171">
          <cell r="O171">
            <v>0</v>
          </cell>
          <cell r="P171">
            <v>30</v>
          </cell>
          <cell r="Q171">
            <v>50</v>
          </cell>
          <cell r="R171">
            <v>20</v>
          </cell>
          <cell r="S171">
            <v>0</v>
          </cell>
        </row>
        <row r="172">
          <cell r="O172">
            <v>20</v>
          </cell>
          <cell r="P172">
            <v>0</v>
          </cell>
          <cell r="Q172">
            <v>50</v>
          </cell>
          <cell r="R172">
            <v>30</v>
          </cell>
          <cell r="S172">
            <v>0</v>
          </cell>
        </row>
        <row r="173">
          <cell r="O173">
            <v>30</v>
          </cell>
          <cell r="P173">
            <v>0</v>
          </cell>
          <cell r="Q173">
            <v>50</v>
          </cell>
          <cell r="R173">
            <v>0</v>
          </cell>
          <cell r="S173">
            <v>20</v>
          </cell>
        </row>
        <row r="174">
          <cell r="O174">
            <v>0</v>
          </cell>
          <cell r="P174">
            <v>0</v>
          </cell>
          <cell r="Q174">
            <v>0</v>
          </cell>
          <cell r="R174">
            <v>50</v>
          </cell>
          <cell r="S174">
            <v>0</v>
          </cell>
        </row>
        <row r="175">
          <cell r="O175">
            <v>0</v>
          </cell>
          <cell r="P175">
            <v>0</v>
          </cell>
          <cell r="Q175">
            <v>10</v>
          </cell>
          <cell r="R175">
            <v>0</v>
          </cell>
          <cell r="S175">
            <v>20</v>
          </cell>
        </row>
        <row r="176">
          <cell r="O176">
            <v>0</v>
          </cell>
          <cell r="P176">
            <v>0</v>
          </cell>
          <cell r="Q176">
            <v>0</v>
          </cell>
          <cell r="R176">
            <v>20</v>
          </cell>
          <cell r="S176">
            <v>40</v>
          </cell>
        </row>
        <row r="177">
          <cell r="O177">
            <v>10</v>
          </cell>
          <cell r="P177">
            <v>0</v>
          </cell>
          <cell r="Q177">
            <v>0</v>
          </cell>
          <cell r="R177">
            <v>0</v>
          </cell>
          <cell r="S177">
            <v>20</v>
          </cell>
        </row>
        <row r="178">
          <cell r="O178">
            <v>30</v>
          </cell>
          <cell r="P178">
            <v>0</v>
          </cell>
          <cell r="Q178">
            <v>0</v>
          </cell>
          <cell r="R178">
            <v>0</v>
          </cell>
          <cell r="S178">
            <v>30</v>
          </cell>
        </row>
        <row r="179">
          <cell r="O179">
            <v>40</v>
          </cell>
          <cell r="P179">
            <v>0</v>
          </cell>
          <cell r="Q179">
            <v>0</v>
          </cell>
          <cell r="R179">
            <v>0</v>
          </cell>
          <cell r="S179">
            <v>40</v>
          </cell>
        </row>
        <row r="181">
          <cell r="O181">
            <v>0</v>
          </cell>
          <cell r="P181">
            <v>0</v>
          </cell>
          <cell r="Q181">
            <v>40</v>
          </cell>
          <cell r="R181">
            <v>0</v>
          </cell>
          <cell r="S181">
            <v>40</v>
          </cell>
        </row>
        <row r="182">
          <cell r="O182">
            <v>30</v>
          </cell>
          <cell r="P182">
            <v>70</v>
          </cell>
          <cell r="Q182">
            <v>0</v>
          </cell>
          <cell r="R182">
            <v>0</v>
          </cell>
          <cell r="S182">
            <v>0</v>
          </cell>
        </row>
        <row r="183">
          <cell r="O183">
            <v>50</v>
          </cell>
          <cell r="P183">
            <v>0</v>
          </cell>
          <cell r="Q183">
            <v>0</v>
          </cell>
          <cell r="R183">
            <v>50</v>
          </cell>
          <cell r="S183">
            <v>0</v>
          </cell>
        </row>
        <row r="184">
          <cell r="O184">
            <v>70</v>
          </cell>
          <cell r="P184">
            <v>30</v>
          </cell>
          <cell r="Q184">
            <v>0</v>
          </cell>
          <cell r="R184">
            <v>0</v>
          </cell>
          <cell r="S184">
            <v>0</v>
          </cell>
        </row>
        <row r="185">
          <cell r="O185">
            <v>0</v>
          </cell>
          <cell r="P185">
            <v>30</v>
          </cell>
          <cell r="Q185">
            <v>30</v>
          </cell>
          <cell r="R185">
            <v>0</v>
          </cell>
          <cell r="S185">
            <v>0</v>
          </cell>
        </row>
        <row r="186">
          <cell r="O186">
            <v>0</v>
          </cell>
          <cell r="P186">
            <v>70</v>
          </cell>
          <cell r="Q186">
            <v>10</v>
          </cell>
          <cell r="R186">
            <v>0</v>
          </cell>
          <cell r="S186">
            <v>0</v>
          </cell>
        </row>
        <row r="187">
          <cell r="O187">
            <v>30</v>
          </cell>
          <cell r="P187">
            <v>30</v>
          </cell>
          <cell r="Q187">
            <v>30</v>
          </cell>
          <cell r="R187">
            <v>0</v>
          </cell>
          <cell r="S187">
            <v>30</v>
          </cell>
        </row>
        <row r="188">
          <cell r="O188">
            <v>50</v>
          </cell>
          <cell r="P188">
            <v>0</v>
          </cell>
          <cell r="Q188">
            <v>0</v>
          </cell>
          <cell r="R188">
            <v>80</v>
          </cell>
          <cell r="S188">
            <v>30</v>
          </cell>
        </row>
        <row r="191">
          <cell r="O191">
            <v>0</v>
          </cell>
          <cell r="P191">
            <v>20</v>
          </cell>
          <cell r="Q191">
            <v>70</v>
          </cell>
          <cell r="R191">
            <v>30</v>
          </cell>
          <cell r="S191">
            <v>0</v>
          </cell>
        </row>
        <row r="192">
          <cell r="O192">
            <v>0</v>
          </cell>
          <cell r="P192">
            <v>0</v>
          </cell>
          <cell r="Q192">
            <v>30</v>
          </cell>
          <cell r="R192">
            <v>0</v>
          </cell>
          <cell r="S192">
            <v>0</v>
          </cell>
        </row>
        <row r="193">
          <cell r="O193">
            <v>0</v>
          </cell>
          <cell r="P193">
            <v>0</v>
          </cell>
          <cell r="Q193">
            <v>30</v>
          </cell>
          <cell r="R193">
            <v>30</v>
          </cell>
          <cell r="S193">
            <v>0</v>
          </cell>
        </row>
        <row r="194">
          <cell r="O194">
            <v>0</v>
          </cell>
          <cell r="P194">
            <v>40</v>
          </cell>
          <cell r="Q194">
            <v>40</v>
          </cell>
          <cell r="R194">
            <v>30</v>
          </cell>
          <cell r="S194">
            <v>0</v>
          </cell>
        </row>
        <row r="195">
          <cell r="O195">
            <v>30</v>
          </cell>
          <cell r="P195">
            <v>20</v>
          </cell>
          <cell r="Q195">
            <v>0</v>
          </cell>
          <cell r="R195">
            <v>0</v>
          </cell>
          <cell r="S195">
            <v>0</v>
          </cell>
        </row>
        <row r="196">
          <cell r="O196">
            <v>40</v>
          </cell>
          <cell r="P196">
            <v>20</v>
          </cell>
          <cell r="Q196">
            <v>0</v>
          </cell>
          <cell r="R196">
            <v>0</v>
          </cell>
          <cell r="S196">
            <v>0</v>
          </cell>
        </row>
        <row r="197">
          <cell r="O197">
            <v>50</v>
          </cell>
          <cell r="P197">
            <v>20</v>
          </cell>
          <cell r="Q197">
            <v>0</v>
          </cell>
          <cell r="R197">
            <v>0</v>
          </cell>
          <cell r="S197">
            <v>30</v>
          </cell>
        </row>
        <row r="198">
          <cell r="O198">
            <v>10</v>
          </cell>
          <cell r="P198">
            <v>0</v>
          </cell>
          <cell r="Q198">
            <v>20</v>
          </cell>
          <cell r="R198">
            <v>0</v>
          </cell>
          <cell r="S198">
            <v>30</v>
          </cell>
        </row>
        <row r="199">
          <cell r="O199">
            <v>10</v>
          </cell>
          <cell r="P199">
            <v>0</v>
          </cell>
          <cell r="Q199">
            <v>0</v>
          </cell>
          <cell r="R199">
            <v>0</v>
          </cell>
          <cell r="S199">
            <v>50</v>
          </cell>
        </row>
        <row r="200">
          <cell r="O200">
            <v>30</v>
          </cell>
          <cell r="P200">
            <v>0</v>
          </cell>
          <cell r="Q200">
            <v>0</v>
          </cell>
          <cell r="R200">
            <v>0</v>
          </cell>
          <cell r="S200">
            <v>50</v>
          </cell>
        </row>
        <row r="201">
          <cell r="O201">
            <v>0</v>
          </cell>
          <cell r="P201">
            <v>0</v>
          </cell>
          <cell r="Q201">
            <v>20</v>
          </cell>
          <cell r="R201">
            <v>10</v>
          </cell>
          <cell r="S201">
            <v>0</v>
          </cell>
        </row>
        <row r="202">
          <cell r="O202">
            <v>0</v>
          </cell>
          <cell r="P202">
            <v>0</v>
          </cell>
          <cell r="Q202">
            <v>60</v>
          </cell>
          <cell r="R202">
            <v>0</v>
          </cell>
          <cell r="S202">
            <v>0</v>
          </cell>
        </row>
        <row r="203">
          <cell r="O203">
            <v>0</v>
          </cell>
          <cell r="P203">
            <v>0</v>
          </cell>
          <cell r="Q203">
            <v>0</v>
          </cell>
          <cell r="R203">
            <v>30</v>
          </cell>
          <cell r="S203">
            <v>0</v>
          </cell>
        </row>
        <row r="204">
          <cell r="O204">
            <v>0</v>
          </cell>
          <cell r="P204">
            <v>10</v>
          </cell>
          <cell r="Q204">
            <v>0</v>
          </cell>
          <cell r="R204">
            <v>60</v>
          </cell>
          <cell r="S204">
            <v>0</v>
          </cell>
        </row>
        <row r="205">
          <cell r="O205">
            <v>0</v>
          </cell>
          <cell r="P205">
            <v>0</v>
          </cell>
          <cell r="Q205">
            <v>20</v>
          </cell>
          <cell r="R205">
            <v>0</v>
          </cell>
          <cell r="S205">
            <v>0</v>
          </cell>
        </row>
        <row r="206">
          <cell r="O206">
            <v>0</v>
          </cell>
          <cell r="P206">
            <v>0</v>
          </cell>
          <cell r="Q206">
            <v>40</v>
          </cell>
          <cell r="R206">
            <v>20</v>
          </cell>
          <cell r="S206">
            <v>0</v>
          </cell>
        </row>
        <row r="207">
          <cell r="O207">
            <v>0</v>
          </cell>
          <cell r="P207">
            <v>0</v>
          </cell>
          <cell r="Q207">
            <v>10</v>
          </cell>
          <cell r="R207">
            <v>20</v>
          </cell>
          <cell r="S207">
            <v>0</v>
          </cell>
        </row>
        <row r="208">
          <cell r="O208">
            <v>20</v>
          </cell>
          <cell r="P208">
            <v>0</v>
          </cell>
          <cell r="Q208">
            <v>0</v>
          </cell>
          <cell r="R208">
            <v>40</v>
          </cell>
          <cell r="S208">
            <v>0</v>
          </cell>
        </row>
        <row r="209">
          <cell r="O209">
            <v>50</v>
          </cell>
          <cell r="P209">
            <v>0</v>
          </cell>
          <cell r="Q209">
            <v>0</v>
          </cell>
          <cell r="R209">
            <v>30</v>
          </cell>
          <cell r="S209">
            <v>0</v>
          </cell>
        </row>
        <row r="210">
          <cell r="O210">
            <v>0</v>
          </cell>
          <cell r="P210">
            <v>20</v>
          </cell>
          <cell r="Q210">
            <v>10</v>
          </cell>
          <cell r="R210">
            <v>10</v>
          </cell>
          <cell r="S210">
            <v>0</v>
          </cell>
        </row>
        <row r="211">
          <cell r="O211">
            <v>0</v>
          </cell>
          <cell r="P211">
            <v>50</v>
          </cell>
          <cell r="Q211">
            <v>30</v>
          </cell>
          <cell r="R211">
            <v>20</v>
          </cell>
          <cell r="S211">
            <v>0</v>
          </cell>
        </row>
        <row r="212">
          <cell r="O212">
            <v>0</v>
          </cell>
          <cell r="P212">
            <v>0</v>
          </cell>
          <cell r="Q212">
            <v>50</v>
          </cell>
          <cell r="R212">
            <v>0</v>
          </cell>
          <cell r="S212">
            <v>0</v>
          </cell>
        </row>
        <row r="213">
          <cell r="O213">
            <v>0</v>
          </cell>
          <cell r="P213">
            <v>0</v>
          </cell>
          <cell r="Q213">
            <v>50</v>
          </cell>
          <cell r="R213">
            <v>0</v>
          </cell>
          <cell r="S213">
            <v>0</v>
          </cell>
        </row>
        <row r="214">
          <cell r="O214">
            <v>0</v>
          </cell>
          <cell r="P214">
            <v>0</v>
          </cell>
          <cell r="Q214">
            <v>50</v>
          </cell>
          <cell r="R214">
            <v>0</v>
          </cell>
          <cell r="S214">
            <v>0</v>
          </cell>
        </row>
        <row r="215">
          <cell r="O215">
            <v>0</v>
          </cell>
          <cell r="P215">
            <v>0</v>
          </cell>
          <cell r="Q215">
            <v>70</v>
          </cell>
          <cell r="R215">
            <v>0</v>
          </cell>
          <cell r="S215">
            <v>0</v>
          </cell>
        </row>
        <row r="216">
          <cell r="O216">
            <v>0</v>
          </cell>
          <cell r="P216">
            <v>0</v>
          </cell>
          <cell r="Q216">
            <v>90</v>
          </cell>
          <cell r="R216">
            <v>0</v>
          </cell>
          <cell r="S216">
            <v>0</v>
          </cell>
        </row>
        <row r="217">
          <cell r="O217">
            <v>0</v>
          </cell>
          <cell r="P217">
            <v>10</v>
          </cell>
          <cell r="Q217">
            <v>0</v>
          </cell>
          <cell r="R217">
            <v>40</v>
          </cell>
          <cell r="S217">
            <v>0</v>
          </cell>
        </row>
        <row r="218">
          <cell r="O218">
            <v>0</v>
          </cell>
          <cell r="P218">
            <v>20</v>
          </cell>
          <cell r="Q218">
            <v>0</v>
          </cell>
          <cell r="R218">
            <v>80</v>
          </cell>
          <cell r="S218">
            <v>0</v>
          </cell>
        </row>
        <row r="219">
          <cell r="O219">
            <v>0</v>
          </cell>
          <cell r="P219">
            <v>0</v>
          </cell>
          <cell r="Q219">
            <v>20</v>
          </cell>
          <cell r="R219">
            <v>0</v>
          </cell>
          <cell r="S219">
            <v>0</v>
          </cell>
        </row>
        <row r="220">
          <cell r="O220">
            <v>0</v>
          </cell>
          <cell r="P220">
            <v>10</v>
          </cell>
          <cell r="Q220">
            <v>20</v>
          </cell>
          <cell r="R220">
            <v>20</v>
          </cell>
          <cell r="S220">
            <v>0</v>
          </cell>
        </row>
        <row r="221">
          <cell r="O221">
            <v>10</v>
          </cell>
          <cell r="P221">
            <v>30</v>
          </cell>
          <cell r="Q221">
            <v>20</v>
          </cell>
          <cell r="R221">
            <v>30</v>
          </cell>
          <cell r="S221">
            <v>0</v>
          </cell>
        </row>
        <row r="223">
          <cell r="O223">
            <v>0</v>
          </cell>
          <cell r="P223">
            <v>30</v>
          </cell>
          <cell r="Q223">
            <v>50</v>
          </cell>
          <cell r="R223">
            <v>10</v>
          </cell>
          <cell r="S223">
            <v>0</v>
          </cell>
        </row>
        <row r="224">
          <cell r="O224">
            <v>0</v>
          </cell>
          <cell r="P224">
            <v>0</v>
          </cell>
          <cell r="Q224">
            <v>50</v>
          </cell>
          <cell r="R224">
            <v>0</v>
          </cell>
          <cell r="S224">
            <v>0</v>
          </cell>
        </row>
        <row r="225">
          <cell r="O225">
            <v>0</v>
          </cell>
          <cell r="P225">
            <v>0</v>
          </cell>
          <cell r="Q225">
            <v>40</v>
          </cell>
          <cell r="R225">
            <v>0</v>
          </cell>
          <cell r="S225">
            <v>20</v>
          </cell>
        </row>
        <row r="226">
          <cell r="O226">
            <v>0</v>
          </cell>
          <cell r="P226">
            <v>0</v>
          </cell>
          <cell r="Q226">
            <v>0</v>
          </cell>
          <cell r="R226">
            <v>50</v>
          </cell>
          <cell r="S226">
            <v>50</v>
          </cell>
        </row>
        <row r="227">
          <cell r="O227">
            <v>0</v>
          </cell>
          <cell r="P227">
            <v>20</v>
          </cell>
          <cell r="Q227">
            <v>30</v>
          </cell>
          <cell r="R227">
            <v>30</v>
          </cell>
          <cell r="S227">
            <v>0</v>
          </cell>
        </row>
        <row r="228">
          <cell r="O228">
            <v>0</v>
          </cell>
          <cell r="P228">
            <v>0</v>
          </cell>
          <cell r="Q228">
            <v>10</v>
          </cell>
          <cell r="R228">
            <v>10</v>
          </cell>
          <cell r="S228">
            <v>0</v>
          </cell>
        </row>
        <row r="229">
          <cell r="O229">
            <v>0</v>
          </cell>
          <cell r="P229">
            <v>0</v>
          </cell>
          <cell r="Q229">
            <v>30</v>
          </cell>
          <cell r="R229">
            <v>20</v>
          </cell>
          <cell r="S229">
            <v>0</v>
          </cell>
        </row>
        <row r="230">
          <cell r="O230">
            <v>0</v>
          </cell>
          <cell r="P230">
            <v>0</v>
          </cell>
          <cell r="Q230">
            <v>50</v>
          </cell>
          <cell r="R230">
            <v>30</v>
          </cell>
          <cell r="S230">
            <v>0</v>
          </cell>
        </row>
        <row r="231">
          <cell r="O231">
            <v>0</v>
          </cell>
          <cell r="P231">
            <v>0</v>
          </cell>
          <cell r="Q231">
            <v>30</v>
          </cell>
          <cell r="R231">
            <v>40</v>
          </cell>
          <cell r="S231">
            <v>0</v>
          </cell>
        </row>
        <row r="232">
          <cell r="O232">
            <v>0</v>
          </cell>
          <cell r="P232">
            <v>0</v>
          </cell>
          <cell r="Q232">
            <v>10</v>
          </cell>
          <cell r="R232">
            <v>0</v>
          </cell>
          <cell r="S232">
            <v>0</v>
          </cell>
        </row>
        <row r="233">
          <cell r="O233">
            <v>10</v>
          </cell>
          <cell r="P233">
            <v>30</v>
          </cell>
          <cell r="Q233">
            <v>30</v>
          </cell>
          <cell r="R233">
            <v>10</v>
          </cell>
          <cell r="S233">
            <v>0</v>
          </cell>
        </row>
        <row r="234">
          <cell r="O234">
            <v>20</v>
          </cell>
          <cell r="P234">
            <v>0</v>
          </cell>
          <cell r="Q234">
            <v>10</v>
          </cell>
          <cell r="R234">
            <v>40</v>
          </cell>
          <cell r="S234">
            <v>0</v>
          </cell>
        </row>
        <row r="235">
          <cell r="O235">
            <v>0</v>
          </cell>
          <cell r="P235">
            <v>0</v>
          </cell>
          <cell r="Q235">
            <v>40</v>
          </cell>
          <cell r="R235">
            <v>0</v>
          </cell>
          <cell r="S235">
            <v>0</v>
          </cell>
        </row>
        <row r="236">
          <cell r="O236">
            <v>0</v>
          </cell>
          <cell r="P236">
            <v>0</v>
          </cell>
          <cell r="Q236">
            <v>30</v>
          </cell>
          <cell r="R236">
            <v>0</v>
          </cell>
          <cell r="S236">
            <v>10</v>
          </cell>
        </row>
        <row r="237">
          <cell r="O237">
            <v>0</v>
          </cell>
          <cell r="P237">
            <v>20</v>
          </cell>
          <cell r="Q237">
            <v>30</v>
          </cell>
          <cell r="R237">
            <v>50</v>
          </cell>
          <cell r="S237">
            <v>0</v>
          </cell>
        </row>
        <row r="238">
          <cell r="O238">
            <v>0</v>
          </cell>
          <cell r="P238">
            <v>20</v>
          </cell>
          <cell r="Q238">
            <v>30</v>
          </cell>
          <cell r="R238">
            <v>50</v>
          </cell>
          <cell r="S238">
            <v>0</v>
          </cell>
        </row>
        <row r="239">
          <cell r="O239">
            <v>10</v>
          </cell>
          <cell r="P239">
            <v>0</v>
          </cell>
          <cell r="Q239">
            <v>0</v>
          </cell>
          <cell r="R239">
            <v>20</v>
          </cell>
          <cell r="S239">
            <v>0</v>
          </cell>
        </row>
        <row r="240">
          <cell r="O240">
            <v>0</v>
          </cell>
          <cell r="P240">
            <v>10</v>
          </cell>
          <cell r="Q240">
            <v>10</v>
          </cell>
          <cell r="R240">
            <v>80</v>
          </cell>
          <cell r="S240">
            <v>10</v>
          </cell>
        </row>
        <row r="241">
          <cell r="O241">
            <v>0</v>
          </cell>
          <cell r="P241">
            <v>20</v>
          </cell>
          <cell r="Q241">
            <v>10</v>
          </cell>
          <cell r="R241">
            <v>30</v>
          </cell>
          <cell r="S241">
            <v>0</v>
          </cell>
        </row>
        <row r="242">
          <cell r="O242">
            <v>0</v>
          </cell>
          <cell r="P242">
            <v>0</v>
          </cell>
          <cell r="Q242">
            <v>0</v>
          </cell>
          <cell r="R242">
            <v>50</v>
          </cell>
          <cell r="S242">
            <v>0</v>
          </cell>
        </row>
        <row r="243">
          <cell r="O243">
            <v>0</v>
          </cell>
          <cell r="P243">
            <v>0</v>
          </cell>
          <cell r="Q243">
            <v>0</v>
          </cell>
          <cell r="R243">
            <v>20</v>
          </cell>
          <cell r="S243">
            <v>60</v>
          </cell>
        </row>
        <row r="244">
          <cell r="O244">
            <v>20</v>
          </cell>
          <cell r="P244">
            <v>0</v>
          </cell>
          <cell r="Q244">
            <v>30</v>
          </cell>
          <cell r="R244">
            <v>30</v>
          </cell>
          <cell r="S244">
            <v>20</v>
          </cell>
        </row>
        <row r="245">
          <cell r="O245">
            <v>0</v>
          </cell>
          <cell r="P245">
            <v>0</v>
          </cell>
          <cell r="Q245">
            <v>0</v>
          </cell>
          <cell r="R245">
            <v>20</v>
          </cell>
          <cell r="S245">
            <v>20</v>
          </cell>
        </row>
        <row r="246">
          <cell r="O246">
            <v>0</v>
          </cell>
          <cell r="P246">
            <v>0</v>
          </cell>
          <cell r="Q246">
            <v>0</v>
          </cell>
          <cell r="R246">
            <v>30</v>
          </cell>
          <cell r="S246">
            <v>50</v>
          </cell>
        </row>
        <row r="247">
          <cell r="O247">
            <v>10</v>
          </cell>
          <cell r="P247">
            <v>0</v>
          </cell>
          <cell r="Q247">
            <v>10</v>
          </cell>
          <cell r="R247">
            <v>20</v>
          </cell>
          <cell r="S247">
            <v>10</v>
          </cell>
        </row>
        <row r="248">
          <cell r="O248">
            <v>10</v>
          </cell>
          <cell r="P248">
            <v>0</v>
          </cell>
          <cell r="Q248">
            <v>10</v>
          </cell>
          <cell r="R248">
            <v>10</v>
          </cell>
          <cell r="S248">
            <v>20</v>
          </cell>
        </row>
        <row r="249">
          <cell r="O249">
            <v>0</v>
          </cell>
          <cell r="P249">
            <v>0</v>
          </cell>
          <cell r="Q249">
            <v>0</v>
          </cell>
          <cell r="R249">
            <v>0</v>
          </cell>
          <cell r="S249">
            <v>100</v>
          </cell>
        </row>
        <row r="251">
          <cell r="O251">
            <v>0</v>
          </cell>
          <cell r="P251">
            <v>0</v>
          </cell>
          <cell r="Q251">
            <v>40</v>
          </cell>
          <cell r="R251">
            <v>0</v>
          </cell>
          <cell r="S251">
            <v>40</v>
          </cell>
        </row>
        <row r="252">
          <cell r="O252">
            <v>0</v>
          </cell>
          <cell r="P252">
            <v>0</v>
          </cell>
          <cell r="Q252">
            <v>20</v>
          </cell>
          <cell r="R252">
            <v>0</v>
          </cell>
          <cell r="S252">
            <v>60</v>
          </cell>
        </row>
        <row r="253">
          <cell r="O253">
            <v>0</v>
          </cell>
          <cell r="P253">
            <v>0</v>
          </cell>
          <cell r="Q253">
            <v>0</v>
          </cell>
          <cell r="R253">
            <v>20</v>
          </cell>
          <cell r="S253">
            <v>10</v>
          </cell>
        </row>
        <row r="254">
          <cell r="O254">
            <v>80</v>
          </cell>
          <cell r="P254">
            <v>10</v>
          </cell>
          <cell r="Q254">
            <v>0</v>
          </cell>
          <cell r="R254">
            <v>20</v>
          </cell>
          <cell r="S254">
            <v>20</v>
          </cell>
        </row>
        <row r="256">
          <cell r="O256">
            <v>0</v>
          </cell>
          <cell r="P256">
            <v>0</v>
          </cell>
          <cell r="Q256">
            <v>10</v>
          </cell>
          <cell r="R256">
            <v>40</v>
          </cell>
          <cell r="S256">
            <v>60</v>
          </cell>
        </row>
        <row r="257">
          <cell r="O257">
            <v>40</v>
          </cell>
          <cell r="P257">
            <v>10</v>
          </cell>
          <cell r="Q257">
            <v>0</v>
          </cell>
          <cell r="R257">
            <v>10</v>
          </cell>
          <cell r="S257">
            <v>40</v>
          </cell>
        </row>
        <row r="259">
          <cell r="O259">
            <v>40</v>
          </cell>
          <cell r="P259">
            <v>0</v>
          </cell>
          <cell r="Q259">
            <v>20</v>
          </cell>
          <cell r="R259">
            <v>30</v>
          </cell>
          <cell r="S259">
            <v>0</v>
          </cell>
        </row>
        <row r="260">
          <cell r="O260">
            <v>0</v>
          </cell>
          <cell r="P260">
            <v>0</v>
          </cell>
          <cell r="Q260">
            <v>50</v>
          </cell>
          <cell r="R260">
            <v>10</v>
          </cell>
          <cell r="S260">
            <v>0</v>
          </cell>
        </row>
        <row r="261">
          <cell r="O261">
            <v>20</v>
          </cell>
          <cell r="P261">
            <v>0</v>
          </cell>
          <cell r="Q261">
            <v>20</v>
          </cell>
          <cell r="R261">
            <v>0</v>
          </cell>
          <cell r="S261">
            <v>40</v>
          </cell>
        </row>
        <row r="262">
          <cell r="O262">
            <v>10</v>
          </cell>
          <cell r="P262">
            <v>10</v>
          </cell>
          <cell r="Q262">
            <v>10</v>
          </cell>
          <cell r="R262">
            <v>10</v>
          </cell>
          <cell r="S262">
            <v>10</v>
          </cell>
        </row>
        <row r="263">
          <cell r="O263">
            <v>20</v>
          </cell>
          <cell r="P263">
            <v>20</v>
          </cell>
          <cell r="Q263">
            <v>0</v>
          </cell>
          <cell r="R263">
            <v>20</v>
          </cell>
          <cell r="S263">
            <v>20</v>
          </cell>
        </row>
        <row r="264">
          <cell r="O264">
            <v>0</v>
          </cell>
          <cell r="P264">
            <v>0</v>
          </cell>
          <cell r="Q264">
            <v>30</v>
          </cell>
          <cell r="R264">
            <v>0</v>
          </cell>
          <cell r="S264">
            <v>10</v>
          </cell>
        </row>
        <row r="265">
          <cell r="O265">
            <v>0</v>
          </cell>
          <cell r="P265">
            <v>0</v>
          </cell>
          <cell r="Q265">
            <v>30</v>
          </cell>
          <cell r="R265">
            <v>0</v>
          </cell>
          <cell r="S265">
            <v>30</v>
          </cell>
        </row>
        <row r="266">
          <cell r="O266">
            <v>0</v>
          </cell>
          <cell r="P266">
            <v>20</v>
          </cell>
          <cell r="Q266">
            <v>20</v>
          </cell>
          <cell r="R266">
            <v>0</v>
          </cell>
          <cell r="S266">
            <v>30</v>
          </cell>
        </row>
        <row r="267">
          <cell r="O267">
            <v>20</v>
          </cell>
          <cell r="P267">
            <v>0</v>
          </cell>
          <cell r="Q267">
            <v>10</v>
          </cell>
          <cell r="R267">
            <v>10</v>
          </cell>
          <cell r="S267">
            <v>10</v>
          </cell>
        </row>
        <row r="268">
          <cell r="O268">
            <v>10</v>
          </cell>
          <cell r="P268">
            <v>0</v>
          </cell>
          <cell r="Q268">
            <v>0</v>
          </cell>
          <cell r="R268">
            <v>30</v>
          </cell>
          <cell r="S268">
            <v>0</v>
          </cell>
        </row>
        <row r="269">
          <cell r="O269">
            <v>10</v>
          </cell>
          <cell r="P269">
            <v>0</v>
          </cell>
          <cell r="Q269">
            <v>0</v>
          </cell>
          <cell r="R269">
            <v>70</v>
          </cell>
          <cell r="S269">
            <v>0</v>
          </cell>
        </row>
        <row r="270">
          <cell r="O270">
            <v>0</v>
          </cell>
          <cell r="P270">
            <v>0</v>
          </cell>
          <cell r="Q270">
            <v>30</v>
          </cell>
          <cell r="R270">
            <v>10</v>
          </cell>
          <cell r="S270">
            <v>0</v>
          </cell>
        </row>
        <row r="271">
          <cell r="O271">
            <v>10</v>
          </cell>
          <cell r="P271">
            <v>30</v>
          </cell>
          <cell r="Q271">
            <v>10</v>
          </cell>
          <cell r="R271">
            <v>10</v>
          </cell>
          <cell r="S271">
            <v>10</v>
          </cell>
        </row>
        <row r="272">
          <cell r="O272">
            <v>30</v>
          </cell>
          <cell r="P272">
            <v>0</v>
          </cell>
          <cell r="Q272">
            <v>0</v>
          </cell>
          <cell r="R272">
            <v>0</v>
          </cell>
          <cell r="S272">
            <v>40</v>
          </cell>
        </row>
        <row r="273">
          <cell r="O273">
            <v>30</v>
          </cell>
          <cell r="P273">
            <v>0</v>
          </cell>
          <cell r="Q273">
            <v>0</v>
          </cell>
          <cell r="R273">
            <v>0</v>
          </cell>
          <cell r="S273">
            <v>10</v>
          </cell>
        </row>
        <row r="274">
          <cell r="O274">
            <v>50</v>
          </cell>
          <cell r="P274">
            <v>10</v>
          </cell>
          <cell r="Q274">
            <v>0</v>
          </cell>
          <cell r="R274">
            <v>0</v>
          </cell>
          <cell r="S274">
            <v>10</v>
          </cell>
        </row>
        <row r="276">
          <cell r="O276">
            <v>40</v>
          </cell>
          <cell r="P276">
            <v>40</v>
          </cell>
          <cell r="Q276">
            <v>0</v>
          </cell>
          <cell r="R276">
            <v>10</v>
          </cell>
          <cell r="S276">
            <v>10</v>
          </cell>
        </row>
        <row r="277">
          <cell r="O277">
            <v>0</v>
          </cell>
          <cell r="P277">
            <v>0</v>
          </cell>
          <cell r="Q277">
            <v>40</v>
          </cell>
          <cell r="R277">
            <v>0</v>
          </cell>
          <cell r="S277">
            <v>40</v>
          </cell>
        </row>
        <row r="278">
          <cell r="O278">
            <v>30</v>
          </cell>
          <cell r="P278">
            <v>0</v>
          </cell>
          <cell r="Q278">
            <v>0</v>
          </cell>
          <cell r="R278">
            <v>0</v>
          </cell>
          <cell r="S278">
            <v>60</v>
          </cell>
        </row>
        <row r="279">
          <cell r="O279">
            <v>10</v>
          </cell>
          <cell r="P279">
            <v>20</v>
          </cell>
          <cell r="Q279">
            <v>0</v>
          </cell>
          <cell r="R279">
            <v>50</v>
          </cell>
          <cell r="S279">
            <v>0</v>
          </cell>
        </row>
        <row r="280">
          <cell r="O280">
            <v>10</v>
          </cell>
          <cell r="P280">
            <v>10</v>
          </cell>
          <cell r="Q280">
            <v>10</v>
          </cell>
          <cell r="R280">
            <v>30</v>
          </cell>
          <cell r="S280">
            <v>10</v>
          </cell>
        </row>
        <row r="281">
          <cell r="O281">
            <v>0</v>
          </cell>
          <cell r="P281">
            <v>10</v>
          </cell>
          <cell r="Q281">
            <v>30</v>
          </cell>
          <cell r="R281">
            <v>20</v>
          </cell>
          <cell r="S281">
            <v>0</v>
          </cell>
        </row>
        <row r="282">
          <cell r="O282">
            <v>20</v>
          </cell>
          <cell r="P282">
            <v>0</v>
          </cell>
          <cell r="Q282">
            <v>20</v>
          </cell>
          <cell r="R282">
            <v>0</v>
          </cell>
          <cell r="S282">
            <v>20</v>
          </cell>
        </row>
        <row r="283">
          <cell r="O283">
            <v>30</v>
          </cell>
          <cell r="P283">
            <v>0</v>
          </cell>
          <cell r="Q283">
            <v>0</v>
          </cell>
          <cell r="R283">
            <v>30</v>
          </cell>
          <cell r="S283">
            <v>10</v>
          </cell>
        </row>
        <row r="284">
          <cell r="O284">
            <v>0</v>
          </cell>
          <cell r="P284">
            <v>0</v>
          </cell>
          <cell r="Q284">
            <v>30</v>
          </cell>
          <cell r="R284">
            <v>20</v>
          </cell>
          <cell r="S284">
            <v>0</v>
          </cell>
        </row>
        <row r="285">
          <cell r="O285">
            <v>10</v>
          </cell>
          <cell r="P285">
            <v>0</v>
          </cell>
          <cell r="Q285">
            <v>10</v>
          </cell>
          <cell r="R285">
            <v>10</v>
          </cell>
          <cell r="S285">
            <v>0</v>
          </cell>
        </row>
        <row r="286">
          <cell r="O286">
            <v>10</v>
          </cell>
          <cell r="P286">
            <v>10</v>
          </cell>
          <cell r="Q286">
            <v>10</v>
          </cell>
          <cell r="R286">
            <v>0</v>
          </cell>
          <cell r="S286">
            <v>0</v>
          </cell>
        </row>
        <row r="287">
          <cell r="O287">
            <v>0</v>
          </cell>
          <cell r="P287">
            <v>0</v>
          </cell>
          <cell r="Q287">
            <v>30</v>
          </cell>
          <cell r="R287">
            <v>0</v>
          </cell>
          <cell r="S287">
            <v>40</v>
          </cell>
        </row>
        <row r="288">
          <cell r="O288">
            <v>0</v>
          </cell>
          <cell r="P288">
            <v>20</v>
          </cell>
          <cell r="Q288">
            <v>30</v>
          </cell>
          <cell r="R288">
            <v>0</v>
          </cell>
          <cell r="S288">
            <v>0</v>
          </cell>
        </row>
        <row r="289">
          <cell r="O289">
            <v>50</v>
          </cell>
          <cell r="P289">
            <v>0</v>
          </cell>
          <cell r="Q289">
            <v>0</v>
          </cell>
          <cell r="R289">
            <v>20</v>
          </cell>
          <cell r="S289">
            <v>30</v>
          </cell>
        </row>
        <row r="290">
          <cell r="O290">
            <v>30</v>
          </cell>
          <cell r="P290">
            <v>20</v>
          </cell>
          <cell r="Q290">
            <v>0</v>
          </cell>
          <cell r="R290">
            <v>0</v>
          </cell>
          <cell r="S290">
            <v>50</v>
          </cell>
        </row>
        <row r="291">
          <cell r="O291">
            <v>20</v>
          </cell>
          <cell r="P291">
            <v>50</v>
          </cell>
          <cell r="Q291">
            <v>0</v>
          </cell>
          <cell r="R291">
            <v>30</v>
          </cell>
          <cell r="S291">
            <v>0</v>
          </cell>
        </row>
        <row r="292">
          <cell r="O292">
            <v>10</v>
          </cell>
          <cell r="P292">
            <v>0</v>
          </cell>
          <cell r="Q292">
            <v>20</v>
          </cell>
          <cell r="R292">
            <v>0</v>
          </cell>
          <cell r="S292">
            <v>40</v>
          </cell>
        </row>
        <row r="293">
          <cell r="O293">
            <v>0</v>
          </cell>
          <cell r="P293">
            <v>0</v>
          </cell>
          <cell r="Q293">
            <v>0</v>
          </cell>
          <cell r="R293">
            <v>0</v>
          </cell>
          <cell r="S293">
            <v>70</v>
          </cell>
        </row>
        <row r="294">
          <cell r="O294">
            <v>40</v>
          </cell>
          <cell r="P294">
            <v>0</v>
          </cell>
          <cell r="Q294">
            <v>0</v>
          </cell>
          <cell r="R294">
            <v>0</v>
          </cell>
          <cell r="S294">
            <v>70</v>
          </cell>
        </row>
        <row r="296">
          <cell r="O296">
            <v>30</v>
          </cell>
          <cell r="P296">
            <v>50</v>
          </cell>
          <cell r="Q296">
            <v>0</v>
          </cell>
          <cell r="R296">
            <v>40</v>
          </cell>
          <cell r="S296">
            <v>40</v>
          </cell>
        </row>
        <row r="297">
          <cell r="O297">
            <v>50</v>
          </cell>
          <cell r="P297">
            <v>60</v>
          </cell>
          <cell r="Q297">
            <v>0</v>
          </cell>
          <cell r="R297">
            <v>30</v>
          </cell>
          <cell r="S297">
            <v>20</v>
          </cell>
        </row>
        <row r="298">
          <cell r="O298">
            <v>0</v>
          </cell>
          <cell r="P298">
            <v>30</v>
          </cell>
          <cell r="Q298">
            <v>60</v>
          </cell>
          <cell r="R298">
            <v>30</v>
          </cell>
          <cell r="S298">
            <v>0</v>
          </cell>
        </row>
        <row r="299">
          <cell r="O299">
            <v>20</v>
          </cell>
          <cell r="P299">
            <v>0</v>
          </cell>
          <cell r="Q299">
            <v>0</v>
          </cell>
          <cell r="R299">
            <v>20</v>
          </cell>
          <cell r="S299">
            <v>0</v>
          </cell>
        </row>
        <row r="300">
          <cell r="O300">
            <v>30</v>
          </cell>
          <cell r="P300">
            <v>0</v>
          </cell>
          <cell r="Q300">
            <v>0</v>
          </cell>
          <cell r="R300">
            <v>40</v>
          </cell>
          <cell r="S300">
            <v>0</v>
          </cell>
        </row>
        <row r="301">
          <cell r="O301">
            <v>40</v>
          </cell>
          <cell r="P301">
            <v>0</v>
          </cell>
          <cell r="Q301">
            <v>0</v>
          </cell>
          <cell r="R301">
            <v>40</v>
          </cell>
          <cell r="S301">
            <v>20</v>
          </cell>
        </row>
        <row r="303">
          <cell r="O303">
            <v>0</v>
          </cell>
          <cell r="P303">
            <v>10</v>
          </cell>
          <cell r="Q303">
            <v>20</v>
          </cell>
          <cell r="R303">
            <v>0</v>
          </cell>
          <cell r="S303">
            <v>0</v>
          </cell>
        </row>
        <row r="304">
          <cell r="O304">
            <v>20</v>
          </cell>
          <cell r="P304">
            <v>10</v>
          </cell>
          <cell r="Q304">
            <v>10</v>
          </cell>
          <cell r="R304">
            <v>0</v>
          </cell>
          <cell r="S304">
            <v>20</v>
          </cell>
        </row>
        <row r="305">
          <cell r="O305">
            <v>50</v>
          </cell>
          <cell r="P305">
            <v>10</v>
          </cell>
          <cell r="Q305">
            <v>0</v>
          </cell>
          <cell r="R305">
            <v>0</v>
          </cell>
          <cell r="S305">
            <v>30</v>
          </cell>
        </row>
        <row r="307">
          <cell r="O307">
            <v>0</v>
          </cell>
          <cell r="P307">
            <v>0</v>
          </cell>
          <cell r="Q307">
            <v>30</v>
          </cell>
          <cell r="R307">
            <v>0</v>
          </cell>
          <cell r="S307">
            <v>10</v>
          </cell>
        </row>
        <row r="308">
          <cell r="O308">
            <v>0</v>
          </cell>
          <cell r="P308">
            <v>0</v>
          </cell>
          <cell r="Q308">
            <v>30</v>
          </cell>
          <cell r="R308">
            <v>0</v>
          </cell>
          <cell r="S308">
            <v>30</v>
          </cell>
        </row>
        <row r="309">
          <cell r="O309">
            <v>30</v>
          </cell>
          <cell r="P309">
            <v>0</v>
          </cell>
          <cell r="Q309">
            <v>10</v>
          </cell>
          <cell r="R309">
            <v>0</v>
          </cell>
          <cell r="S309">
            <v>50</v>
          </cell>
        </row>
        <row r="311">
          <cell r="O311">
            <v>0</v>
          </cell>
          <cell r="P311">
            <v>0</v>
          </cell>
          <cell r="Q311">
            <v>20</v>
          </cell>
          <cell r="R311">
            <v>0</v>
          </cell>
          <cell r="S311">
            <v>10</v>
          </cell>
        </row>
        <row r="312">
          <cell r="O312">
            <v>20</v>
          </cell>
          <cell r="P312">
            <v>0</v>
          </cell>
          <cell r="Q312">
            <v>0</v>
          </cell>
          <cell r="R312">
            <v>0</v>
          </cell>
          <cell r="S312">
            <v>40</v>
          </cell>
        </row>
        <row r="313">
          <cell r="O313">
            <v>0</v>
          </cell>
          <cell r="P313">
            <v>0</v>
          </cell>
          <cell r="Q313">
            <v>30</v>
          </cell>
          <cell r="R313">
            <v>20</v>
          </cell>
          <cell r="S313">
            <v>0</v>
          </cell>
        </row>
        <row r="314">
          <cell r="O314">
            <v>0</v>
          </cell>
          <cell r="P314">
            <v>0</v>
          </cell>
          <cell r="Q314">
            <v>10</v>
          </cell>
          <cell r="R314">
            <v>20</v>
          </cell>
          <cell r="S314">
            <v>20</v>
          </cell>
        </row>
        <row r="315">
          <cell r="O315">
            <v>20</v>
          </cell>
          <cell r="P315">
            <v>0</v>
          </cell>
          <cell r="Q315">
            <v>0</v>
          </cell>
          <cell r="R315">
            <v>30</v>
          </cell>
          <cell r="S315">
            <v>10</v>
          </cell>
        </row>
        <row r="316">
          <cell r="O316">
            <v>20</v>
          </cell>
          <cell r="P316">
            <v>0</v>
          </cell>
          <cell r="Q316">
            <v>0</v>
          </cell>
          <cell r="R316">
            <v>0</v>
          </cell>
          <cell r="S316">
            <v>40</v>
          </cell>
        </row>
        <row r="317">
          <cell r="O317">
            <v>0</v>
          </cell>
          <cell r="P317">
            <v>0</v>
          </cell>
          <cell r="Q317">
            <v>0</v>
          </cell>
          <cell r="R317">
            <v>10</v>
          </cell>
          <cell r="S317">
            <v>0</v>
          </cell>
        </row>
        <row r="318">
          <cell r="O318">
            <v>0</v>
          </cell>
          <cell r="P318">
            <v>0</v>
          </cell>
          <cell r="Q318">
            <v>0</v>
          </cell>
          <cell r="R318">
            <v>10</v>
          </cell>
          <cell r="S318">
            <v>10</v>
          </cell>
        </row>
        <row r="319">
          <cell r="O319">
            <v>0</v>
          </cell>
          <cell r="P319">
            <v>50</v>
          </cell>
          <cell r="Q319">
            <v>30</v>
          </cell>
          <cell r="R319">
            <v>30</v>
          </cell>
          <cell r="S319">
            <v>0</v>
          </cell>
        </row>
        <row r="320">
          <cell r="O320">
            <v>0</v>
          </cell>
          <cell r="P320">
            <v>0</v>
          </cell>
          <cell r="Q320">
            <v>0</v>
          </cell>
          <cell r="R320">
            <v>10</v>
          </cell>
          <cell r="S320">
            <v>10</v>
          </cell>
        </row>
        <row r="321">
          <cell r="O321">
            <v>0</v>
          </cell>
          <cell r="P321">
            <v>20</v>
          </cell>
          <cell r="Q321">
            <v>30</v>
          </cell>
          <cell r="R321">
            <v>50</v>
          </cell>
          <cell r="S321">
            <v>10</v>
          </cell>
        </row>
        <row r="322">
          <cell r="O322">
            <v>0</v>
          </cell>
          <cell r="P322">
            <v>10</v>
          </cell>
          <cell r="Q322">
            <v>30</v>
          </cell>
          <cell r="R322">
            <v>10</v>
          </cell>
          <cell r="S322">
            <v>0</v>
          </cell>
        </row>
        <row r="323">
          <cell r="O323">
            <v>30</v>
          </cell>
          <cell r="P323">
            <v>0</v>
          </cell>
          <cell r="Q323">
            <v>0</v>
          </cell>
          <cell r="R323">
            <v>20</v>
          </cell>
          <cell r="S323">
            <v>10</v>
          </cell>
        </row>
        <row r="324">
          <cell r="O324">
            <v>30</v>
          </cell>
          <cell r="P324">
            <v>0</v>
          </cell>
          <cell r="Q324">
            <v>30</v>
          </cell>
          <cell r="R324">
            <v>30</v>
          </cell>
          <cell r="S324">
            <v>10</v>
          </cell>
        </row>
        <row r="325">
          <cell r="O325">
            <v>10</v>
          </cell>
          <cell r="P325">
            <v>0</v>
          </cell>
          <cell r="Q325">
            <v>0</v>
          </cell>
          <cell r="R325">
            <v>10</v>
          </cell>
          <cell r="S325">
            <v>30</v>
          </cell>
        </row>
        <row r="326">
          <cell r="O326">
            <v>10</v>
          </cell>
          <cell r="P326">
            <v>0</v>
          </cell>
          <cell r="Q326">
            <v>0</v>
          </cell>
          <cell r="R326">
            <v>20</v>
          </cell>
          <cell r="S326">
            <v>30</v>
          </cell>
        </row>
        <row r="327">
          <cell r="O327">
            <v>30</v>
          </cell>
          <cell r="P327">
            <v>0</v>
          </cell>
          <cell r="Q327">
            <v>0</v>
          </cell>
          <cell r="R327">
            <v>40</v>
          </cell>
          <cell r="S327">
            <v>30</v>
          </cell>
        </row>
        <row r="328">
          <cell r="O328">
            <v>30</v>
          </cell>
          <cell r="P328">
            <v>0</v>
          </cell>
          <cell r="Q328">
            <v>10</v>
          </cell>
          <cell r="R328">
            <v>0</v>
          </cell>
          <cell r="S328">
            <v>0</v>
          </cell>
        </row>
        <row r="329">
          <cell r="O329">
            <v>60</v>
          </cell>
          <cell r="P329">
            <v>20</v>
          </cell>
          <cell r="Q329">
            <v>0</v>
          </cell>
          <cell r="R329">
            <v>0</v>
          </cell>
          <cell r="S329">
            <v>0</v>
          </cell>
        </row>
        <row r="330">
          <cell r="O330">
            <v>0</v>
          </cell>
          <cell r="P330">
            <v>0</v>
          </cell>
          <cell r="Q330">
            <v>10</v>
          </cell>
          <cell r="R330">
            <v>0</v>
          </cell>
          <cell r="S330">
            <v>0</v>
          </cell>
        </row>
        <row r="331">
          <cell r="O331">
            <v>10</v>
          </cell>
          <cell r="P331">
            <v>0</v>
          </cell>
          <cell r="Q331">
            <v>20</v>
          </cell>
          <cell r="R331">
            <v>0</v>
          </cell>
          <cell r="S331">
            <v>10</v>
          </cell>
        </row>
        <row r="332">
          <cell r="O332">
            <v>0</v>
          </cell>
          <cell r="P332">
            <v>10</v>
          </cell>
          <cell r="Q332">
            <v>40</v>
          </cell>
          <cell r="R332">
            <v>10</v>
          </cell>
          <cell r="S332">
            <v>0</v>
          </cell>
        </row>
        <row r="333">
          <cell r="O333">
            <v>0</v>
          </cell>
          <cell r="P333">
            <v>30</v>
          </cell>
          <cell r="Q333">
            <v>50</v>
          </cell>
          <cell r="R333">
            <v>20</v>
          </cell>
          <cell r="S333">
            <v>0</v>
          </cell>
        </row>
        <row r="334">
          <cell r="O334">
            <v>0</v>
          </cell>
          <cell r="P334">
            <v>70</v>
          </cell>
          <cell r="Q334">
            <v>30</v>
          </cell>
          <cell r="R334">
            <v>30</v>
          </cell>
          <cell r="S334">
            <v>0</v>
          </cell>
        </row>
        <row r="336">
          <cell r="O336">
            <v>10</v>
          </cell>
          <cell r="P336">
            <v>10</v>
          </cell>
          <cell r="Q336">
            <v>10</v>
          </cell>
          <cell r="R336">
            <v>20</v>
          </cell>
          <cell r="S336">
            <v>0</v>
          </cell>
        </row>
        <row r="337">
          <cell r="O337">
            <v>20</v>
          </cell>
          <cell r="P337">
            <v>10</v>
          </cell>
          <cell r="Q337">
            <v>0</v>
          </cell>
          <cell r="R337">
            <v>30</v>
          </cell>
          <cell r="S337">
            <v>20</v>
          </cell>
        </row>
        <row r="338">
          <cell r="O338">
            <v>0</v>
          </cell>
          <cell r="P338">
            <v>0</v>
          </cell>
          <cell r="Q338">
            <v>10</v>
          </cell>
          <cell r="R338">
            <v>0</v>
          </cell>
          <cell r="S338">
            <v>10</v>
          </cell>
        </row>
        <row r="339">
          <cell r="O339">
            <v>30</v>
          </cell>
          <cell r="P339">
            <v>10</v>
          </cell>
          <cell r="Q339">
            <v>10</v>
          </cell>
          <cell r="R339">
            <v>10</v>
          </cell>
          <cell r="S339">
            <v>0</v>
          </cell>
        </row>
        <row r="340">
          <cell r="O340">
            <v>0</v>
          </cell>
          <cell r="P340">
            <v>0</v>
          </cell>
          <cell r="Q340">
            <v>20</v>
          </cell>
          <cell r="R340">
            <v>0</v>
          </cell>
          <cell r="S340">
            <v>0</v>
          </cell>
        </row>
        <row r="341">
          <cell r="O341">
            <v>20</v>
          </cell>
          <cell r="P341">
            <v>0</v>
          </cell>
          <cell r="Q341">
            <v>0</v>
          </cell>
          <cell r="R341">
            <v>0</v>
          </cell>
          <cell r="S341">
            <v>20</v>
          </cell>
        </row>
        <row r="342">
          <cell r="O342">
            <v>30</v>
          </cell>
          <cell r="P342">
            <v>0</v>
          </cell>
          <cell r="Q342">
            <v>20</v>
          </cell>
          <cell r="R342">
            <v>0</v>
          </cell>
          <cell r="S342">
            <v>50</v>
          </cell>
        </row>
        <row r="343">
          <cell r="O343">
            <v>30</v>
          </cell>
          <cell r="P343">
            <v>0</v>
          </cell>
          <cell r="Q343">
            <v>0</v>
          </cell>
          <cell r="R343">
            <v>10</v>
          </cell>
          <cell r="S343">
            <v>0</v>
          </cell>
        </row>
        <row r="344">
          <cell r="O344">
            <v>70</v>
          </cell>
          <cell r="P344">
            <v>0</v>
          </cell>
          <cell r="Q344">
            <v>0</v>
          </cell>
          <cell r="R344">
            <v>30</v>
          </cell>
          <cell r="S344">
            <v>0</v>
          </cell>
        </row>
        <row r="345">
          <cell r="O345">
            <v>0</v>
          </cell>
          <cell r="P345">
            <v>0</v>
          </cell>
          <cell r="Q345">
            <v>0</v>
          </cell>
          <cell r="R345">
            <v>70</v>
          </cell>
          <cell r="S345">
            <v>20</v>
          </cell>
        </row>
        <row r="346">
          <cell r="O346">
            <v>0</v>
          </cell>
          <cell r="P346">
            <v>0</v>
          </cell>
          <cell r="Q346">
            <v>10</v>
          </cell>
          <cell r="R346">
            <v>10</v>
          </cell>
          <cell r="S346">
            <v>10</v>
          </cell>
        </row>
        <row r="347">
          <cell r="O347">
            <v>20</v>
          </cell>
          <cell r="P347">
            <v>0</v>
          </cell>
          <cell r="Q347">
            <v>10</v>
          </cell>
          <cell r="R347">
            <v>10</v>
          </cell>
          <cell r="S347">
            <v>20</v>
          </cell>
        </row>
        <row r="348">
          <cell r="O348">
            <v>30</v>
          </cell>
          <cell r="P348">
            <v>0</v>
          </cell>
          <cell r="Q348">
            <v>0</v>
          </cell>
          <cell r="R348">
            <v>10</v>
          </cell>
          <cell r="S348">
            <v>30</v>
          </cell>
        </row>
        <row r="349">
          <cell r="O349">
            <v>10</v>
          </cell>
          <cell r="P349">
            <v>0</v>
          </cell>
          <cell r="Q349">
            <v>10</v>
          </cell>
          <cell r="R349">
            <v>0</v>
          </cell>
          <cell r="S349">
            <v>30</v>
          </cell>
        </row>
        <row r="350">
          <cell r="O350">
            <v>20</v>
          </cell>
          <cell r="P350">
            <v>0</v>
          </cell>
          <cell r="Q350">
            <v>10</v>
          </cell>
          <cell r="R350">
            <v>0</v>
          </cell>
          <cell r="S350">
            <v>60</v>
          </cell>
        </row>
        <row r="351">
          <cell r="O351">
            <v>0</v>
          </cell>
          <cell r="P351">
            <v>0</v>
          </cell>
          <cell r="Q351">
            <v>50</v>
          </cell>
          <cell r="R351">
            <v>10</v>
          </cell>
          <cell r="S351">
            <v>0</v>
          </cell>
        </row>
        <row r="352">
          <cell r="O352">
            <v>0</v>
          </cell>
          <cell r="P352">
            <v>0</v>
          </cell>
          <cell r="Q352">
            <v>0</v>
          </cell>
          <cell r="R352">
            <v>40</v>
          </cell>
          <cell r="S352">
            <v>30</v>
          </cell>
        </row>
        <row r="353">
          <cell r="O353">
            <v>0</v>
          </cell>
          <cell r="P353">
            <v>0</v>
          </cell>
          <cell r="Q353">
            <v>70</v>
          </cell>
          <cell r="R353">
            <v>10</v>
          </cell>
          <cell r="S353">
            <v>0</v>
          </cell>
        </row>
        <row r="354">
          <cell r="O354">
            <v>0</v>
          </cell>
          <cell r="P354">
            <v>50</v>
          </cell>
          <cell r="Q354">
            <v>90</v>
          </cell>
          <cell r="R354">
            <v>20</v>
          </cell>
          <cell r="S354">
            <v>0</v>
          </cell>
        </row>
        <row r="355">
          <cell r="O355">
            <v>0</v>
          </cell>
          <cell r="P355">
            <v>20</v>
          </cell>
          <cell r="Q355">
            <v>20</v>
          </cell>
          <cell r="R355">
            <v>40</v>
          </cell>
          <cell r="S355">
            <v>10</v>
          </cell>
        </row>
        <row r="357">
          <cell r="O357">
            <v>20</v>
          </cell>
          <cell r="P357">
            <v>0</v>
          </cell>
          <cell r="Q357">
            <v>10</v>
          </cell>
          <cell r="R357">
            <v>50</v>
          </cell>
          <cell r="S357">
            <v>30</v>
          </cell>
        </row>
        <row r="359">
          <cell r="O359">
            <v>0</v>
          </cell>
          <cell r="P359">
            <v>0</v>
          </cell>
          <cell r="Q359">
            <v>0</v>
          </cell>
          <cell r="R359">
            <v>0</v>
          </cell>
          <cell r="S359">
            <v>40</v>
          </cell>
        </row>
        <row r="360">
          <cell r="O360">
            <v>10</v>
          </cell>
          <cell r="P360">
            <v>0</v>
          </cell>
          <cell r="Q360">
            <v>0</v>
          </cell>
          <cell r="R360">
            <v>0</v>
          </cell>
          <cell r="S360">
            <v>60</v>
          </cell>
        </row>
        <row r="361">
          <cell r="O361">
            <v>20</v>
          </cell>
          <cell r="P361">
            <v>0</v>
          </cell>
          <cell r="Q361">
            <v>0</v>
          </cell>
          <cell r="R361">
            <v>0</v>
          </cell>
          <cell r="S361">
            <v>80</v>
          </cell>
        </row>
        <row r="363">
          <cell r="O363">
            <v>10</v>
          </cell>
          <cell r="P363">
            <v>10</v>
          </cell>
          <cell r="Q363">
            <v>0</v>
          </cell>
          <cell r="R363">
            <v>20</v>
          </cell>
          <cell r="S363">
            <v>0</v>
          </cell>
        </row>
        <row r="364">
          <cell r="O364">
            <v>20</v>
          </cell>
          <cell r="P364">
            <v>30</v>
          </cell>
          <cell r="Q364">
            <v>10</v>
          </cell>
          <cell r="R364">
            <v>40</v>
          </cell>
          <cell r="S364">
            <v>0</v>
          </cell>
        </row>
        <row r="366">
          <cell r="O366">
            <v>40</v>
          </cell>
          <cell r="P366">
            <v>10</v>
          </cell>
          <cell r="Q366">
            <v>0</v>
          </cell>
          <cell r="R366">
            <v>0</v>
          </cell>
          <cell r="S366">
            <v>0</v>
          </cell>
        </row>
        <row r="367">
          <cell r="O367">
            <v>60</v>
          </cell>
          <cell r="P367">
            <v>20</v>
          </cell>
          <cell r="Q367">
            <v>0</v>
          </cell>
          <cell r="R367">
            <v>0</v>
          </cell>
          <cell r="S367">
            <v>0</v>
          </cell>
        </row>
        <row r="369">
          <cell r="O369">
            <v>0</v>
          </cell>
          <cell r="P369">
            <v>20</v>
          </cell>
          <cell r="Q369">
            <v>50</v>
          </cell>
          <cell r="R369">
            <v>0</v>
          </cell>
          <cell r="S369">
            <v>0</v>
          </cell>
        </row>
        <row r="370">
          <cell r="O370">
            <v>0</v>
          </cell>
          <cell r="P370">
            <v>20</v>
          </cell>
          <cell r="Q370">
            <v>50</v>
          </cell>
          <cell r="R370">
            <v>0</v>
          </cell>
          <cell r="S370">
            <v>0</v>
          </cell>
        </row>
        <row r="371">
          <cell r="O371">
            <v>30</v>
          </cell>
          <cell r="P371">
            <v>0</v>
          </cell>
          <cell r="Q371">
            <v>30</v>
          </cell>
          <cell r="R371">
            <v>20</v>
          </cell>
          <cell r="S371">
            <v>0</v>
          </cell>
        </row>
        <row r="372">
          <cell r="O372">
            <v>0</v>
          </cell>
          <cell r="P372">
            <v>30</v>
          </cell>
          <cell r="Q372">
            <v>30</v>
          </cell>
          <cell r="R372">
            <v>20</v>
          </cell>
          <cell r="S372">
            <v>0</v>
          </cell>
        </row>
        <row r="373">
          <cell r="O373">
            <v>0</v>
          </cell>
          <cell r="P373">
            <v>50</v>
          </cell>
          <cell r="Q373">
            <v>30</v>
          </cell>
          <cell r="R373">
            <v>10</v>
          </cell>
          <cell r="S373">
            <v>0</v>
          </cell>
        </row>
        <row r="374">
          <cell r="O374">
            <v>0</v>
          </cell>
          <cell r="P374">
            <v>0</v>
          </cell>
          <cell r="Q374">
            <v>0</v>
          </cell>
          <cell r="R374">
            <v>20</v>
          </cell>
          <cell r="S374">
            <v>10</v>
          </cell>
        </row>
        <row r="375">
          <cell r="O375">
            <v>0</v>
          </cell>
          <cell r="P375">
            <v>0</v>
          </cell>
          <cell r="Q375">
            <v>10</v>
          </cell>
          <cell r="R375">
            <v>30</v>
          </cell>
          <cell r="S375">
            <v>10</v>
          </cell>
        </row>
        <row r="376">
          <cell r="O376">
            <v>30</v>
          </cell>
          <cell r="P376">
            <v>0</v>
          </cell>
          <cell r="Q376">
            <v>0</v>
          </cell>
          <cell r="R376">
            <v>0</v>
          </cell>
          <cell r="S376">
            <v>40</v>
          </cell>
        </row>
        <row r="377">
          <cell r="O377">
            <v>60</v>
          </cell>
          <cell r="P377">
            <v>0</v>
          </cell>
          <cell r="Q377">
            <v>0</v>
          </cell>
          <cell r="R377">
            <v>10</v>
          </cell>
          <cell r="S377">
            <v>60</v>
          </cell>
        </row>
        <row r="379">
          <cell r="O379">
            <v>10</v>
          </cell>
          <cell r="P379">
            <v>10</v>
          </cell>
          <cell r="Q379">
            <v>40</v>
          </cell>
          <cell r="R379">
            <v>0</v>
          </cell>
          <cell r="S379">
            <v>10</v>
          </cell>
        </row>
        <row r="380">
          <cell r="O380">
            <v>30</v>
          </cell>
          <cell r="P380">
            <v>50</v>
          </cell>
          <cell r="Q380">
            <v>50</v>
          </cell>
          <cell r="R380">
            <v>0</v>
          </cell>
          <cell r="S380">
            <v>20</v>
          </cell>
        </row>
        <row r="381">
          <cell r="O381">
            <v>0</v>
          </cell>
          <cell r="P381">
            <v>10</v>
          </cell>
          <cell r="Q381">
            <v>10</v>
          </cell>
          <cell r="R381">
            <v>0</v>
          </cell>
          <cell r="S381">
            <v>10</v>
          </cell>
        </row>
        <row r="382">
          <cell r="O382">
            <v>30</v>
          </cell>
          <cell r="P382">
            <v>30</v>
          </cell>
          <cell r="Q382">
            <v>0</v>
          </cell>
          <cell r="R382">
            <v>0</v>
          </cell>
          <cell r="S382">
            <v>30</v>
          </cell>
        </row>
        <row r="384">
          <cell r="O384">
            <v>0</v>
          </cell>
          <cell r="P384">
            <v>10</v>
          </cell>
          <cell r="Q384">
            <v>0</v>
          </cell>
          <cell r="R384">
            <v>10</v>
          </cell>
          <cell r="S384">
            <v>50</v>
          </cell>
        </row>
        <row r="385">
          <cell r="O385">
            <v>0</v>
          </cell>
          <cell r="P385">
            <v>30</v>
          </cell>
          <cell r="Q385">
            <v>30</v>
          </cell>
          <cell r="R385">
            <v>20</v>
          </cell>
          <cell r="S385">
            <v>0</v>
          </cell>
        </row>
        <row r="386">
          <cell r="O386">
            <v>0</v>
          </cell>
          <cell r="P386">
            <v>20</v>
          </cell>
          <cell r="Q386">
            <v>30</v>
          </cell>
          <cell r="R386">
            <v>60</v>
          </cell>
          <cell r="S386">
            <v>0</v>
          </cell>
        </row>
        <row r="387">
          <cell r="O387">
            <v>0</v>
          </cell>
          <cell r="P387">
            <v>0</v>
          </cell>
          <cell r="Q387">
            <v>30</v>
          </cell>
          <cell r="R387">
            <v>20</v>
          </cell>
          <cell r="S387">
            <v>0</v>
          </cell>
        </row>
        <row r="388">
          <cell r="O388">
            <v>30</v>
          </cell>
          <cell r="P388">
            <v>0</v>
          </cell>
          <cell r="Q388">
            <v>0</v>
          </cell>
          <cell r="R388">
            <v>20</v>
          </cell>
          <cell r="S388">
            <v>10</v>
          </cell>
        </row>
        <row r="389">
          <cell r="O389">
            <v>30</v>
          </cell>
          <cell r="P389">
            <v>20</v>
          </cell>
          <cell r="Q389">
            <v>0</v>
          </cell>
          <cell r="R389">
            <v>10</v>
          </cell>
          <cell r="S389">
            <v>0</v>
          </cell>
        </row>
        <row r="390">
          <cell r="O390">
            <v>50</v>
          </cell>
          <cell r="P390">
            <v>30</v>
          </cell>
          <cell r="Q390">
            <v>0</v>
          </cell>
          <cell r="R390">
            <v>10</v>
          </cell>
          <cell r="S390">
            <v>0</v>
          </cell>
        </row>
        <row r="391">
          <cell r="O391">
            <v>20</v>
          </cell>
          <cell r="P391">
            <v>0</v>
          </cell>
          <cell r="Q391">
            <v>10</v>
          </cell>
          <cell r="R391">
            <v>0</v>
          </cell>
          <cell r="S391">
            <v>0</v>
          </cell>
        </row>
        <row r="392">
          <cell r="O392">
            <v>50</v>
          </cell>
          <cell r="P392">
            <v>0</v>
          </cell>
          <cell r="Q392">
            <v>0</v>
          </cell>
          <cell r="R392">
            <v>40</v>
          </cell>
          <cell r="S392">
            <v>0</v>
          </cell>
        </row>
        <row r="393">
          <cell r="O393">
            <v>0</v>
          </cell>
          <cell r="P393">
            <v>20</v>
          </cell>
          <cell r="Q393">
            <v>40</v>
          </cell>
          <cell r="R393">
            <v>0</v>
          </cell>
          <cell r="S393">
            <v>0</v>
          </cell>
        </row>
        <row r="394">
          <cell r="O394">
            <v>0</v>
          </cell>
          <cell r="P394">
            <v>40</v>
          </cell>
          <cell r="Q394">
            <v>60</v>
          </cell>
          <cell r="R394">
            <v>10</v>
          </cell>
          <cell r="S394">
            <v>0</v>
          </cell>
        </row>
        <row r="396">
          <cell r="O396">
            <v>70</v>
          </cell>
          <cell r="P396">
            <v>0</v>
          </cell>
          <cell r="Q396">
            <v>0</v>
          </cell>
          <cell r="R396">
            <v>0</v>
          </cell>
          <cell r="S396">
            <v>20</v>
          </cell>
        </row>
        <row r="397">
          <cell r="O397">
            <v>50</v>
          </cell>
          <cell r="P397">
            <v>0</v>
          </cell>
          <cell r="Q397">
            <v>0</v>
          </cell>
          <cell r="R397">
            <v>20</v>
          </cell>
          <cell r="S397">
            <v>20</v>
          </cell>
        </row>
        <row r="398">
          <cell r="O398">
            <v>10</v>
          </cell>
          <cell r="P398">
            <v>30</v>
          </cell>
          <cell r="Q398">
            <v>0</v>
          </cell>
          <cell r="R398">
            <v>40</v>
          </cell>
          <cell r="S398">
            <v>10</v>
          </cell>
        </row>
        <row r="399">
          <cell r="O399">
            <v>30</v>
          </cell>
          <cell r="P399">
            <v>20</v>
          </cell>
          <cell r="Q399">
            <v>0</v>
          </cell>
          <cell r="R399">
            <v>40</v>
          </cell>
          <cell r="S399">
            <v>0</v>
          </cell>
        </row>
        <row r="400">
          <cell r="O400">
            <v>0</v>
          </cell>
          <cell r="P400">
            <v>0</v>
          </cell>
          <cell r="Q400">
            <v>30</v>
          </cell>
          <cell r="R400">
            <v>10</v>
          </cell>
          <cell r="S400">
            <v>0</v>
          </cell>
        </row>
        <row r="401">
          <cell r="O401">
            <v>0</v>
          </cell>
          <cell r="P401">
            <v>0</v>
          </cell>
          <cell r="Q401">
            <v>30</v>
          </cell>
          <cell r="R401">
            <v>30</v>
          </cell>
          <cell r="S401">
            <v>0</v>
          </cell>
        </row>
        <row r="402">
          <cell r="O402">
            <v>10</v>
          </cell>
          <cell r="P402">
            <v>0</v>
          </cell>
          <cell r="Q402">
            <v>0</v>
          </cell>
          <cell r="R402">
            <v>0</v>
          </cell>
          <cell r="S402">
            <v>30</v>
          </cell>
        </row>
        <row r="403">
          <cell r="O403">
            <v>40</v>
          </cell>
          <cell r="P403">
            <v>0</v>
          </cell>
          <cell r="Q403">
            <v>0</v>
          </cell>
          <cell r="R403">
            <v>0</v>
          </cell>
          <cell r="S403">
            <v>60</v>
          </cell>
        </row>
        <row r="404">
          <cell r="O404">
            <v>0</v>
          </cell>
          <cell r="P404">
            <v>10</v>
          </cell>
          <cell r="Q404">
            <v>0</v>
          </cell>
          <cell r="R404">
            <v>40</v>
          </cell>
          <cell r="S404">
            <v>0</v>
          </cell>
        </row>
        <row r="405">
          <cell r="O405">
            <v>0</v>
          </cell>
          <cell r="P405">
            <v>10</v>
          </cell>
          <cell r="Q405">
            <v>0</v>
          </cell>
          <cell r="R405">
            <v>60</v>
          </cell>
          <cell r="S405">
            <v>0</v>
          </cell>
        </row>
        <row r="406">
          <cell r="O406">
            <v>10</v>
          </cell>
          <cell r="P406">
            <v>0</v>
          </cell>
          <cell r="Q406">
            <v>10</v>
          </cell>
          <cell r="R406">
            <v>10</v>
          </cell>
          <cell r="S406">
            <v>0</v>
          </cell>
        </row>
        <row r="407">
          <cell r="O407">
            <v>20</v>
          </cell>
          <cell r="P407">
            <v>0</v>
          </cell>
          <cell r="Q407">
            <v>0</v>
          </cell>
          <cell r="R407">
            <v>20</v>
          </cell>
          <cell r="S407">
            <v>0</v>
          </cell>
        </row>
        <row r="408">
          <cell r="O408">
            <v>20</v>
          </cell>
          <cell r="P408">
            <v>0</v>
          </cell>
          <cell r="Q408">
            <v>10</v>
          </cell>
          <cell r="R408">
            <v>0</v>
          </cell>
          <cell r="S408">
            <v>10</v>
          </cell>
        </row>
        <row r="409">
          <cell r="O409">
            <v>30</v>
          </cell>
          <cell r="P409">
            <v>0</v>
          </cell>
          <cell r="Q409">
            <v>0</v>
          </cell>
          <cell r="R409">
            <v>0</v>
          </cell>
          <cell r="S409">
            <v>40</v>
          </cell>
        </row>
        <row r="410">
          <cell r="O410">
            <v>0</v>
          </cell>
          <cell r="P410">
            <v>0</v>
          </cell>
          <cell r="Q410">
            <v>0</v>
          </cell>
          <cell r="R410">
            <v>0</v>
          </cell>
          <cell r="S410">
            <v>10</v>
          </cell>
        </row>
        <row r="411">
          <cell r="O411">
            <v>0</v>
          </cell>
          <cell r="P411">
            <v>100</v>
          </cell>
          <cell r="Q411">
            <v>30</v>
          </cell>
          <cell r="R411">
            <v>0</v>
          </cell>
          <cell r="S411">
            <v>0</v>
          </cell>
        </row>
        <row r="412">
          <cell r="O412">
            <v>0</v>
          </cell>
          <cell r="P412">
            <v>20</v>
          </cell>
          <cell r="Q412">
            <v>20</v>
          </cell>
          <cell r="R412">
            <v>30</v>
          </cell>
          <cell r="S412">
            <v>0</v>
          </cell>
        </row>
        <row r="413">
          <cell r="O413">
            <v>0</v>
          </cell>
          <cell r="P413">
            <v>0</v>
          </cell>
          <cell r="Q413">
            <v>0</v>
          </cell>
          <cell r="R413">
            <v>40</v>
          </cell>
          <cell r="S413">
            <v>0</v>
          </cell>
        </row>
        <row r="414">
          <cell r="O414">
            <v>0</v>
          </cell>
          <cell r="P414">
            <v>0</v>
          </cell>
          <cell r="Q414">
            <v>30</v>
          </cell>
          <cell r="R414">
            <v>10</v>
          </cell>
          <cell r="S414">
            <v>0</v>
          </cell>
        </row>
        <row r="415">
          <cell r="O415">
            <v>10</v>
          </cell>
          <cell r="P415">
            <v>0</v>
          </cell>
          <cell r="Q415">
            <v>10</v>
          </cell>
          <cell r="R415">
            <v>30</v>
          </cell>
          <cell r="S415">
            <v>0</v>
          </cell>
        </row>
        <row r="417">
          <cell r="O417">
            <v>20</v>
          </cell>
          <cell r="P417">
            <v>0</v>
          </cell>
          <cell r="Q417">
            <v>0</v>
          </cell>
          <cell r="R417">
            <v>30</v>
          </cell>
          <cell r="S417">
            <v>10</v>
          </cell>
        </row>
        <row r="418">
          <cell r="O418">
            <v>30</v>
          </cell>
          <cell r="P418">
            <v>0</v>
          </cell>
          <cell r="Q418">
            <v>0</v>
          </cell>
          <cell r="R418">
            <v>30</v>
          </cell>
          <cell r="S418">
            <v>30</v>
          </cell>
        </row>
        <row r="419">
          <cell r="O419">
            <v>10</v>
          </cell>
          <cell r="P419">
            <v>0</v>
          </cell>
          <cell r="Q419">
            <v>0</v>
          </cell>
          <cell r="R419">
            <v>30</v>
          </cell>
          <cell r="S419">
            <v>40</v>
          </cell>
        </row>
        <row r="420">
          <cell r="O420">
            <v>0</v>
          </cell>
          <cell r="P420">
            <v>40</v>
          </cell>
          <cell r="Q420">
            <v>60</v>
          </cell>
          <cell r="R420">
            <v>0</v>
          </cell>
          <cell r="S420">
            <v>0</v>
          </cell>
        </row>
        <row r="421">
          <cell r="O421">
            <v>70</v>
          </cell>
          <cell r="P421">
            <v>0</v>
          </cell>
          <cell r="Q421">
            <v>0</v>
          </cell>
          <cell r="R421">
            <v>0</v>
          </cell>
          <cell r="S421">
            <v>0</v>
          </cell>
        </row>
        <row r="423">
          <cell r="O423">
            <v>0</v>
          </cell>
          <cell r="P423">
            <v>0</v>
          </cell>
          <cell r="Q423">
            <v>40</v>
          </cell>
          <cell r="R423">
            <v>20</v>
          </cell>
          <cell r="S423">
            <v>20</v>
          </cell>
        </row>
        <row r="424">
          <cell r="O424">
            <v>10</v>
          </cell>
          <cell r="P424">
            <v>0</v>
          </cell>
          <cell r="Q424">
            <v>30</v>
          </cell>
          <cell r="R424">
            <v>0</v>
          </cell>
          <cell r="S424">
            <v>10</v>
          </cell>
        </row>
        <row r="425">
          <cell r="O425">
            <v>10</v>
          </cell>
          <cell r="P425">
            <v>20</v>
          </cell>
          <cell r="Q425">
            <v>0</v>
          </cell>
          <cell r="R425">
            <v>0</v>
          </cell>
          <cell r="S425">
            <v>40</v>
          </cell>
        </row>
        <row r="427">
          <cell r="O427">
            <v>0</v>
          </cell>
          <cell r="P427">
            <v>20</v>
          </cell>
          <cell r="Q427">
            <v>40</v>
          </cell>
          <cell r="R427">
            <v>10</v>
          </cell>
          <cell r="S427">
            <v>0</v>
          </cell>
        </row>
        <row r="428">
          <cell r="O428">
            <v>0</v>
          </cell>
          <cell r="P428">
            <v>20</v>
          </cell>
          <cell r="Q428">
            <v>40</v>
          </cell>
          <cell r="R428">
            <v>20</v>
          </cell>
          <cell r="S428">
            <v>20</v>
          </cell>
        </row>
        <row r="429">
          <cell r="O429">
            <v>20</v>
          </cell>
          <cell r="P429">
            <v>20</v>
          </cell>
          <cell r="Q429">
            <v>20</v>
          </cell>
          <cell r="R429">
            <v>0</v>
          </cell>
          <cell r="S429">
            <v>40</v>
          </cell>
        </row>
        <row r="430">
          <cell r="O430">
            <v>0</v>
          </cell>
          <cell r="P430">
            <v>60</v>
          </cell>
          <cell r="Q430">
            <v>0</v>
          </cell>
          <cell r="R430">
            <v>10</v>
          </cell>
          <cell r="S430">
            <v>30</v>
          </cell>
        </row>
        <row r="431">
          <cell r="O431">
            <v>50</v>
          </cell>
          <cell r="P431">
            <v>50</v>
          </cell>
          <cell r="Q431">
            <v>0</v>
          </cell>
          <cell r="R431">
            <v>30</v>
          </cell>
          <cell r="S431">
            <v>0</v>
          </cell>
        </row>
        <row r="432">
          <cell r="O432">
            <v>0</v>
          </cell>
          <cell r="P432">
            <v>80</v>
          </cell>
          <cell r="Q432">
            <v>20</v>
          </cell>
          <cell r="R432">
            <v>30</v>
          </cell>
          <cell r="S432">
            <v>0</v>
          </cell>
        </row>
        <row r="433">
          <cell r="O433">
            <v>0</v>
          </cell>
          <cell r="P433">
            <v>10</v>
          </cell>
          <cell r="Q433">
            <v>0</v>
          </cell>
          <cell r="R433">
            <v>0</v>
          </cell>
          <cell r="S433">
            <v>80</v>
          </cell>
        </row>
        <row r="434">
          <cell r="O434">
            <v>0</v>
          </cell>
          <cell r="P434">
            <v>40</v>
          </cell>
          <cell r="Q434">
            <v>80</v>
          </cell>
          <cell r="R434">
            <v>0</v>
          </cell>
          <cell r="S434">
            <v>0</v>
          </cell>
        </row>
        <row r="435">
          <cell r="O435">
            <v>30</v>
          </cell>
          <cell r="P435">
            <v>0</v>
          </cell>
          <cell r="Q435">
            <v>0</v>
          </cell>
          <cell r="R435">
            <v>0</v>
          </cell>
          <cell r="S435">
            <v>30</v>
          </cell>
        </row>
        <row r="436">
          <cell r="O436">
            <v>20</v>
          </cell>
          <cell r="P436">
            <v>0</v>
          </cell>
          <cell r="Q436">
            <v>0</v>
          </cell>
          <cell r="R436">
            <v>0</v>
          </cell>
          <cell r="S436">
            <v>60</v>
          </cell>
        </row>
        <row r="437">
          <cell r="O437">
            <v>80</v>
          </cell>
          <cell r="P437">
            <v>30</v>
          </cell>
          <cell r="Q437">
            <v>0</v>
          </cell>
          <cell r="R437">
            <v>0</v>
          </cell>
          <cell r="S437">
            <v>50</v>
          </cell>
        </row>
        <row r="439">
          <cell r="O439">
            <v>10</v>
          </cell>
          <cell r="P439">
            <v>0</v>
          </cell>
          <cell r="Q439">
            <v>10</v>
          </cell>
          <cell r="R439">
            <v>30</v>
          </cell>
          <cell r="S439">
            <v>10</v>
          </cell>
        </row>
        <row r="440">
          <cell r="O440">
            <v>10</v>
          </cell>
          <cell r="P440">
            <v>0</v>
          </cell>
          <cell r="Q440">
            <v>0</v>
          </cell>
          <cell r="R440">
            <v>50</v>
          </cell>
          <cell r="S440">
            <v>50</v>
          </cell>
        </row>
        <row r="441">
          <cell r="O441">
            <v>10</v>
          </cell>
          <cell r="P441">
            <v>0</v>
          </cell>
          <cell r="Q441">
            <v>0</v>
          </cell>
          <cell r="R441">
            <v>90</v>
          </cell>
          <cell r="S441">
            <v>60</v>
          </cell>
        </row>
        <row r="443">
          <cell r="O443">
            <v>20</v>
          </cell>
          <cell r="P443">
            <v>0</v>
          </cell>
          <cell r="Q443">
            <v>0</v>
          </cell>
          <cell r="R443">
            <v>20</v>
          </cell>
          <cell r="S443">
            <v>90</v>
          </cell>
        </row>
        <row r="444">
          <cell r="O444">
            <v>0</v>
          </cell>
          <cell r="P444">
            <v>70</v>
          </cell>
          <cell r="Q444">
            <v>0</v>
          </cell>
          <cell r="R444">
            <v>20</v>
          </cell>
          <cell r="S444">
            <v>40</v>
          </cell>
        </row>
        <row r="445">
          <cell r="O445">
            <v>0</v>
          </cell>
          <cell r="P445">
            <v>40</v>
          </cell>
          <cell r="Q445">
            <v>0</v>
          </cell>
          <cell r="R445">
            <v>20</v>
          </cell>
          <cell r="S445">
            <v>70</v>
          </cell>
        </row>
        <row r="446">
          <cell r="O446">
            <v>10</v>
          </cell>
          <cell r="P446">
            <v>30</v>
          </cell>
          <cell r="Q446">
            <v>50</v>
          </cell>
          <cell r="R446">
            <v>30</v>
          </cell>
          <cell r="S446">
            <v>0</v>
          </cell>
        </row>
        <row r="448">
          <cell r="O448">
            <v>50</v>
          </cell>
          <cell r="P448">
            <v>30</v>
          </cell>
          <cell r="Q448">
            <v>10</v>
          </cell>
          <cell r="R448">
            <v>30</v>
          </cell>
          <cell r="S448">
            <v>0</v>
          </cell>
        </row>
        <row r="450">
          <cell r="O450">
            <v>30</v>
          </cell>
          <cell r="P450">
            <v>70</v>
          </cell>
          <cell r="Q450">
            <v>0</v>
          </cell>
          <cell r="R450">
            <v>0</v>
          </cell>
          <cell r="S450">
            <v>40</v>
          </cell>
        </row>
        <row r="452">
          <cell r="O452">
            <v>40</v>
          </cell>
          <cell r="P452">
            <v>30</v>
          </cell>
          <cell r="Q452">
            <v>0</v>
          </cell>
          <cell r="R452">
            <v>0</v>
          </cell>
          <cell r="S452">
            <v>70</v>
          </cell>
        </row>
        <row r="454">
          <cell r="O454">
            <v>60</v>
          </cell>
          <cell r="P454">
            <v>40</v>
          </cell>
          <cell r="Q454">
            <v>0</v>
          </cell>
          <cell r="R454">
            <v>0</v>
          </cell>
          <cell r="S454">
            <v>60</v>
          </cell>
        </row>
        <row r="456">
          <cell r="O456">
            <v>0</v>
          </cell>
          <cell r="P456">
            <v>20</v>
          </cell>
          <cell r="Q456">
            <v>40</v>
          </cell>
          <cell r="R456">
            <v>40</v>
          </cell>
          <cell r="S456">
            <v>20</v>
          </cell>
        </row>
        <row r="457">
          <cell r="O457">
            <v>20</v>
          </cell>
          <cell r="P457">
            <v>0</v>
          </cell>
          <cell r="Q457">
            <v>0</v>
          </cell>
          <cell r="R457">
            <v>70</v>
          </cell>
          <cell r="S457">
            <v>20</v>
          </cell>
        </row>
        <row r="458">
          <cell r="O458">
            <v>60</v>
          </cell>
          <cell r="P458">
            <v>0</v>
          </cell>
          <cell r="Q458">
            <v>0</v>
          </cell>
          <cell r="R458">
            <v>50</v>
          </cell>
          <cell r="S458">
            <v>0</v>
          </cell>
        </row>
        <row r="459">
          <cell r="O459">
            <v>0</v>
          </cell>
          <cell r="P459">
            <v>0</v>
          </cell>
          <cell r="Q459">
            <v>0</v>
          </cell>
          <cell r="R459">
            <v>50</v>
          </cell>
          <cell r="S459">
            <v>60</v>
          </cell>
        </row>
        <row r="460">
          <cell r="O460">
            <v>30</v>
          </cell>
          <cell r="P460">
            <v>0</v>
          </cell>
          <cell r="Q460">
            <v>0</v>
          </cell>
          <cell r="R460">
            <v>50</v>
          </cell>
          <cell r="S460">
            <v>30</v>
          </cell>
        </row>
        <row r="461">
          <cell r="O461">
            <v>0</v>
          </cell>
          <cell r="P461">
            <v>0</v>
          </cell>
          <cell r="Q461">
            <v>20</v>
          </cell>
          <cell r="R461">
            <v>10</v>
          </cell>
          <cell r="S461">
            <v>30</v>
          </cell>
        </row>
        <row r="462">
          <cell r="O462">
            <v>0</v>
          </cell>
          <cell r="P462">
            <v>0</v>
          </cell>
          <cell r="Q462">
            <v>20</v>
          </cell>
          <cell r="R462">
            <v>10</v>
          </cell>
          <cell r="S462">
            <v>50</v>
          </cell>
        </row>
        <row r="463">
          <cell r="O463">
            <v>20</v>
          </cell>
          <cell r="P463">
            <v>20</v>
          </cell>
          <cell r="Q463">
            <v>0</v>
          </cell>
          <cell r="R463">
            <v>30</v>
          </cell>
          <cell r="S463">
            <v>60</v>
          </cell>
        </row>
        <row r="464">
          <cell r="O464">
            <v>20</v>
          </cell>
          <cell r="P464">
            <v>10</v>
          </cell>
          <cell r="Q464">
            <v>30</v>
          </cell>
          <cell r="R464">
            <v>0</v>
          </cell>
          <cell r="S464">
            <v>0</v>
          </cell>
        </row>
        <row r="465">
          <cell r="O465">
            <v>40</v>
          </cell>
          <cell r="P465">
            <v>10</v>
          </cell>
          <cell r="Q465">
            <v>0</v>
          </cell>
          <cell r="R465">
            <v>20</v>
          </cell>
          <cell r="S465">
            <v>0</v>
          </cell>
        </row>
        <row r="466">
          <cell r="O466">
            <v>60</v>
          </cell>
          <cell r="P466">
            <v>10</v>
          </cell>
          <cell r="Q466">
            <v>0</v>
          </cell>
          <cell r="R466">
            <v>40</v>
          </cell>
          <cell r="S466">
            <v>0</v>
          </cell>
        </row>
        <row r="467">
          <cell r="O467">
            <v>0</v>
          </cell>
          <cell r="P467">
            <v>10</v>
          </cell>
          <cell r="Q467">
            <v>50</v>
          </cell>
          <cell r="R467">
            <v>0</v>
          </cell>
          <cell r="S467">
            <v>0</v>
          </cell>
        </row>
        <row r="468">
          <cell r="O468">
            <v>20</v>
          </cell>
          <cell r="P468">
            <v>20</v>
          </cell>
          <cell r="Q468">
            <v>10</v>
          </cell>
          <cell r="R468">
            <v>0</v>
          </cell>
          <cell r="S468">
            <v>20</v>
          </cell>
        </row>
        <row r="469">
          <cell r="O469">
            <v>30</v>
          </cell>
          <cell r="P469">
            <v>40</v>
          </cell>
          <cell r="Q469">
            <v>0</v>
          </cell>
          <cell r="R469">
            <v>0</v>
          </cell>
          <cell r="S469">
            <v>30</v>
          </cell>
        </row>
        <row r="470">
          <cell r="O470">
            <v>20</v>
          </cell>
          <cell r="P470">
            <v>0</v>
          </cell>
          <cell r="Q470">
            <v>10</v>
          </cell>
          <cell r="R470">
            <v>0</v>
          </cell>
          <cell r="S470">
            <v>0</v>
          </cell>
        </row>
        <row r="471">
          <cell r="O471">
            <v>30</v>
          </cell>
          <cell r="P471">
            <v>0</v>
          </cell>
          <cell r="Q471">
            <v>0</v>
          </cell>
          <cell r="R471">
            <v>0</v>
          </cell>
          <cell r="S471">
            <v>10</v>
          </cell>
        </row>
        <row r="472">
          <cell r="O472">
            <v>70</v>
          </cell>
          <cell r="P472">
            <v>0</v>
          </cell>
          <cell r="Q472">
            <v>0</v>
          </cell>
          <cell r="R472">
            <v>0</v>
          </cell>
          <cell r="S472">
            <v>30</v>
          </cell>
        </row>
        <row r="473">
          <cell r="O473">
            <v>0</v>
          </cell>
          <cell r="P473">
            <v>0</v>
          </cell>
          <cell r="Q473">
            <v>50</v>
          </cell>
          <cell r="R473">
            <v>10</v>
          </cell>
          <cell r="S473">
            <v>0</v>
          </cell>
        </row>
        <row r="474">
          <cell r="O474">
            <v>0</v>
          </cell>
          <cell r="P474">
            <v>0</v>
          </cell>
          <cell r="Q474">
            <v>30</v>
          </cell>
          <cell r="R474">
            <v>20</v>
          </cell>
          <cell r="S474">
            <v>10</v>
          </cell>
        </row>
        <row r="475">
          <cell r="O475">
            <v>0</v>
          </cell>
          <cell r="P475">
            <v>20</v>
          </cell>
          <cell r="Q475">
            <v>10</v>
          </cell>
          <cell r="R475">
            <v>20</v>
          </cell>
          <cell r="S475">
            <v>0</v>
          </cell>
        </row>
        <row r="476">
          <cell r="O476">
            <v>10</v>
          </cell>
          <cell r="P476">
            <v>40</v>
          </cell>
          <cell r="Q476">
            <v>0</v>
          </cell>
          <cell r="R476">
            <v>30</v>
          </cell>
          <cell r="S476">
            <v>0</v>
          </cell>
        </row>
        <row r="477">
          <cell r="O477">
            <v>0</v>
          </cell>
          <cell r="P477">
            <v>10</v>
          </cell>
          <cell r="Q477">
            <v>20</v>
          </cell>
          <cell r="R477">
            <v>0</v>
          </cell>
          <cell r="S477">
            <v>0</v>
          </cell>
        </row>
        <row r="478">
          <cell r="O478">
            <v>20</v>
          </cell>
          <cell r="P478">
            <v>30</v>
          </cell>
          <cell r="Q478">
            <v>10</v>
          </cell>
          <cell r="R478">
            <v>0</v>
          </cell>
          <cell r="S478">
            <v>0</v>
          </cell>
        </row>
        <row r="479">
          <cell r="O479">
            <v>40</v>
          </cell>
          <cell r="P479">
            <v>40</v>
          </cell>
          <cell r="Q479">
            <v>0</v>
          </cell>
          <cell r="R479">
            <v>0</v>
          </cell>
          <cell r="S479">
            <v>0</v>
          </cell>
        </row>
        <row r="480">
          <cell r="O480">
            <v>0</v>
          </cell>
          <cell r="P480">
            <v>30</v>
          </cell>
          <cell r="Q480">
            <v>50</v>
          </cell>
          <cell r="R480">
            <v>10</v>
          </cell>
          <cell r="S480">
            <v>0</v>
          </cell>
        </row>
        <row r="481">
          <cell r="O481">
            <v>30</v>
          </cell>
          <cell r="P481">
            <v>50</v>
          </cell>
          <cell r="Q481">
            <v>10</v>
          </cell>
          <cell r="R481">
            <v>30</v>
          </cell>
          <cell r="S481">
            <v>0</v>
          </cell>
        </row>
        <row r="482">
          <cell r="O482">
            <v>20</v>
          </cell>
          <cell r="P482">
            <v>0</v>
          </cell>
          <cell r="Q482">
            <v>0</v>
          </cell>
          <cell r="R482">
            <v>0</v>
          </cell>
          <cell r="S482">
            <v>40</v>
          </cell>
        </row>
        <row r="483">
          <cell r="O483">
            <v>40</v>
          </cell>
          <cell r="P483">
            <v>0</v>
          </cell>
          <cell r="Q483">
            <v>0</v>
          </cell>
          <cell r="R483">
            <v>0</v>
          </cell>
          <cell r="S483">
            <v>60</v>
          </cell>
        </row>
        <row r="484">
          <cell r="O484">
            <v>0</v>
          </cell>
          <cell r="P484">
            <v>0</v>
          </cell>
          <cell r="Q484">
            <v>0</v>
          </cell>
          <cell r="R484">
            <v>10</v>
          </cell>
          <cell r="S484">
            <v>50</v>
          </cell>
        </row>
        <row r="485">
          <cell r="O485">
            <v>0</v>
          </cell>
          <cell r="P485">
            <v>0</v>
          </cell>
          <cell r="Q485">
            <v>0</v>
          </cell>
          <cell r="R485">
            <v>10</v>
          </cell>
          <cell r="S485">
            <v>90</v>
          </cell>
        </row>
        <row r="486">
          <cell r="O486">
            <v>0</v>
          </cell>
          <cell r="P486">
            <v>0</v>
          </cell>
          <cell r="Q486">
            <v>0</v>
          </cell>
          <cell r="R486">
            <v>10</v>
          </cell>
          <cell r="S486">
            <v>0</v>
          </cell>
        </row>
        <row r="487">
          <cell r="O487">
            <v>0</v>
          </cell>
          <cell r="P487">
            <v>30</v>
          </cell>
          <cell r="Q487">
            <v>30</v>
          </cell>
          <cell r="R487">
            <v>50</v>
          </cell>
          <cell r="S487">
            <v>0</v>
          </cell>
        </row>
        <row r="488">
          <cell r="O488">
            <v>0</v>
          </cell>
          <cell r="P488">
            <v>0</v>
          </cell>
          <cell r="Q488">
            <v>30</v>
          </cell>
          <cell r="R488">
            <v>50</v>
          </cell>
          <cell r="S488">
            <v>30</v>
          </cell>
        </row>
        <row r="489">
          <cell r="O489">
            <v>0</v>
          </cell>
          <cell r="P489">
            <v>10</v>
          </cell>
          <cell r="Q489">
            <v>30</v>
          </cell>
          <cell r="R489">
            <v>60</v>
          </cell>
          <cell r="S489">
            <v>10</v>
          </cell>
        </row>
        <row r="490">
          <cell r="O490">
            <v>30</v>
          </cell>
          <cell r="P490">
            <v>0</v>
          </cell>
          <cell r="Q490">
            <v>40</v>
          </cell>
          <cell r="R490">
            <v>20</v>
          </cell>
          <cell r="S490">
            <v>20</v>
          </cell>
        </row>
        <row r="491">
          <cell r="O491">
            <v>0</v>
          </cell>
          <cell r="P491">
            <v>0</v>
          </cell>
          <cell r="Q491">
            <v>10</v>
          </cell>
          <cell r="R491">
            <v>10</v>
          </cell>
          <cell r="S491">
            <v>10</v>
          </cell>
        </row>
        <row r="492">
          <cell r="O492">
            <v>10</v>
          </cell>
          <cell r="P492">
            <v>40</v>
          </cell>
          <cell r="Q492">
            <v>0</v>
          </cell>
          <cell r="R492">
            <v>30</v>
          </cell>
          <cell r="S492">
            <v>20</v>
          </cell>
        </row>
        <row r="493">
          <cell r="O493">
            <v>0</v>
          </cell>
          <cell r="P493">
            <v>0</v>
          </cell>
          <cell r="Q493">
            <v>50</v>
          </cell>
          <cell r="R493">
            <v>0</v>
          </cell>
          <cell r="S493">
            <v>0</v>
          </cell>
        </row>
        <row r="494">
          <cell r="O494">
            <v>0</v>
          </cell>
          <cell r="P494">
            <v>0</v>
          </cell>
          <cell r="Q494">
            <v>30</v>
          </cell>
          <cell r="R494">
            <v>20</v>
          </cell>
          <cell r="S494">
            <v>0</v>
          </cell>
        </row>
        <row r="495">
          <cell r="O495">
            <v>40</v>
          </cell>
          <cell r="P495">
            <v>0</v>
          </cell>
          <cell r="Q495">
            <v>0</v>
          </cell>
          <cell r="R495">
            <v>20</v>
          </cell>
          <cell r="S495">
            <v>0</v>
          </cell>
        </row>
        <row r="496">
          <cell r="O496">
            <v>0</v>
          </cell>
          <cell r="P496">
            <v>10</v>
          </cell>
          <cell r="Q496">
            <v>40</v>
          </cell>
          <cell r="R496">
            <v>0</v>
          </cell>
          <cell r="S496">
            <v>0</v>
          </cell>
        </row>
        <row r="497">
          <cell r="O497">
            <v>0</v>
          </cell>
          <cell r="P497">
            <v>60</v>
          </cell>
          <cell r="Q497">
            <v>60</v>
          </cell>
          <cell r="R497">
            <v>20</v>
          </cell>
          <cell r="S497">
            <v>0</v>
          </cell>
        </row>
        <row r="498">
          <cell r="O498">
            <v>0</v>
          </cell>
          <cell r="P498">
            <v>0</v>
          </cell>
          <cell r="Q498">
            <v>20</v>
          </cell>
          <cell r="R498">
            <v>0</v>
          </cell>
          <cell r="S498">
            <v>10</v>
          </cell>
        </row>
        <row r="499">
          <cell r="O499">
            <v>0</v>
          </cell>
          <cell r="P499">
            <v>10</v>
          </cell>
          <cell r="Q499">
            <v>20</v>
          </cell>
          <cell r="R499">
            <v>0</v>
          </cell>
          <cell r="S499">
            <v>0</v>
          </cell>
        </row>
        <row r="500">
          <cell r="O500">
            <v>0</v>
          </cell>
          <cell r="P500">
            <v>0</v>
          </cell>
          <cell r="Q500">
            <v>30</v>
          </cell>
          <cell r="R500">
            <v>0</v>
          </cell>
          <cell r="S500">
            <v>30</v>
          </cell>
        </row>
        <row r="501">
          <cell r="O501">
            <v>0</v>
          </cell>
          <cell r="P501">
            <v>30</v>
          </cell>
          <cell r="Q501">
            <v>30</v>
          </cell>
          <cell r="R501">
            <v>0</v>
          </cell>
          <cell r="S501">
            <v>0</v>
          </cell>
        </row>
        <row r="502">
          <cell r="O502">
            <v>0</v>
          </cell>
          <cell r="P502">
            <v>0</v>
          </cell>
          <cell r="Q502">
            <v>40</v>
          </cell>
          <cell r="R502">
            <v>50</v>
          </cell>
          <cell r="S502">
            <v>0</v>
          </cell>
        </row>
        <row r="503">
          <cell r="O503">
            <v>0</v>
          </cell>
          <cell r="P503">
            <v>0</v>
          </cell>
          <cell r="Q503">
            <v>30</v>
          </cell>
          <cell r="R503">
            <v>20</v>
          </cell>
          <cell r="S503">
            <v>0</v>
          </cell>
        </row>
        <row r="504">
          <cell r="O504">
            <v>0</v>
          </cell>
          <cell r="P504">
            <v>0</v>
          </cell>
          <cell r="Q504">
            <v>30</v>
          </cell>
          <cell r="R504">
            <v>40</v>
          </cell>
          <cell r="S504">
            <v>0</v>
          </cell>
        </row>
        <row r="505">
          <cell r="O505">
            <v>0</v>
          </cell>
          <cell r="P505">
            <v>0</v>
          </cell>
          <cell r="Q505">
            <v>60</v>
          </cell>
          <cell r="R505">
            <v>0</v>
          </cell>
          <cell r="S505">
            <v>0</v>
          </cell>
        </row>
        <row r="506">
          <cell r="O506">
            <v>0</v>
          </cell>
          <cell r="P506">
            <v>50</v>
          </cell>
          <cell r="Q506">
            <v>80</v>
          </cell>
          <cell r="R506">
            <v>0</v>
          </cell>
          <cell r="S506">
            <v>0</v>
          </cell>
        </row>
        <row r="508">
          <cell r="O508">
            <v>0</v>
          </cell>
          <cell r="P508">
            <v>30</v>
          </cell>
          <cell r="Q508">
            <v>0</v>
          </cell>
          <cell r="R508">
            <v>50</v>
          </cell>
          <cell r="S508">
            <v>0</v>
          </cell>
        </row>
        <row r="509">
          <cell r="O509">
            <v>40</v>
          </cell>
          <cell r="P509">
            <v>0</v>
          </cell>
          <cell r="Q509">
            <v>0</v>
          </cell>
          <cell r="R509">
            <v>30</v>
          </cell>
          <cell r="S509">
            <v>20</v>
          </cell>
        </row>
        <row r="510">
          <cell r="O510">
            <v>0</v>
          </cell>
          <cell r="P510">
            <v>20</v>
          </cell>
          <cell r="Q510">
            <v>40</v>
          </cell>
          <cell r="R510">
            <v>0</v>
          </cell>
          <cell r="S510">
            <v>0</v>
          </cell>
        </row>
        <row r="511">
          <cell r="O511">
            <v>0</v>
          </cell>
          <cell r="P511">
            <v>20</v>
          </cell>
          <cell r="Q511">
            <v>20</v>
          </cell>
          <cell r="R511">
            <v>0</v>
          </cell>
          <cell r="S511">
            <v>40</v>
          </cell>
        </row>
        <row r="512">
          <cell r="O512">
            <v>0</v>
          </cell>
          <cell r="P512">
            <v>10</v>
          </cell>
          <cell r="Q512">
            <v>30</v>
          </cell>
          <cell r="R512">
            <v>10</v>
          </cell>
          <cell r="S512">
            <v>0</v>
          </cell>
        </row>
        <row r="513">
          <cell r="O513">
            <v>0</v>
          </cell>
          <cell r="P513">
            <v>0</v>
          </cell>
          <cell r="Q513">
            <v>0</v>
          </cell>
          <cell r="R513">
            <v>20</v>
          </cell>
          <cell r="S513">
            <v>10</v>
          </cell>
        </row>
        <row r="514">
          <cell r="O514">
            <v>0</v>
          </cell>
          <cell r="P514">
            <v>0</v>
          </cell>
          <cell r="Q514">
            <v>0</v>
          </cell>
          <cell r="R514">
            <v>30</v>
          </cell>
          <cell r="S514">
            <v>20</v>
          </cell>
        </row>
        <row r="515">
          <cell r="O515">
            <v>0</v>
          </cell>
          <cell r="P515">
            <v>10</v>
          </cell>
          <cell r="Q515">
            <v>0</v>
          </cell>
          <cell r="R515">
            <v>30</v>
          </cell>
          <cell r="S515">
            <v>10</v>
          </cell>
        </row>
        <row r="516">
          <cell r="O516">
            <v>0</v>
          </cell>
          <cell r="P516">
            <v>10</v>
          </cell>
          <cell r="Q516">
            <v>0</v>
          </cell>
          <cell r="R516">
            <v>40</v>
          </cell>
          <cell r="S516">
            <v>30</v>
          </cell>
        </row>
        <row r="517">
          <cell r="O517">
            <v>0</v>
          </cell>
          <cell r="P517">
            <v>0</v>
          </cell>
          <cell r="Q517">
            <v>30</v>
          </cell>
          <cell r="R517">
            <v>30</v>
          </cell>
          <cell r="S517">
            <v>30</v>
          </cell>
        </row>
        <row r="518">
          <cell r="O518">
            <v>0</v>
          </cell>
          <cell r="P518">
            <v>0</v>
          </cell>
          <cell r="Q518">
            <v>40</v>
          </cell>
          <cell r="R518">
            <v>20</v>
          </cell>
          <cell r="S518">
            <v>0</v>
          </cell>
        </row>
        <row r="519">
          <cell r="O519">
            <v>0</v>
          </cell>
          <cell r="P519">
            <v>0</v>
          </cell>
          <cell r="Q519">
            <v>40</v>
          </cell>
          <cell r="R519">
            <v>0</v>
          </cell>
          <cell r="S519">
            <v>0</v>
          </cell>
        </row>
        <row r="520">
          <cell r="O520">
            <v>10</v>
          </cell>
          <cell r="P520">
            <v>10</v>
          </cell>
          <cell r="Q520">
            <v>0</v>
          </cell>
          <cell r="R520">
            <v>30</v>
          </cell>
          <cell r="S520">
            <v>0</v>
          </cell>
        </row>
        <row r="521">
          <cell r="O521">
            <v>20</v>
          </cell>
          <cell r="P521">
            <v>0</v>
          </cell>
          <cell r="Q521">
            <v>0</v>
          </cell>
          <cell r="R521">
            <v>20</v>
          </cell>
          <cell r="S521">
            <v>30</v>
          </cell>
        </row>
        <row r="522">
          <cell r="O522">
            <v>20</v>
          </cell>
          <cell r="P522">
            <v>0</v>
          </cell>
          <cell r="Q522">
            <v>10</v>
          </cell>
          <cell r="R522">
            <v>0</v>
          </cell>
          <cell r="S522">
            <v>10</v>
          </cell>
        </row>
        <row r="523">
          <cell r="O523">
            <v>50</v>
          </cell>
          <cell r="P523">
            <v>0</v>
          </cell>
          <cell r="Q523">
            <v>0</v>
          </cell>
          <cell r="R523">
            <v>0</v>
          </cell>
          <cell r="S523">
            <v>20</v>
          </cell>
        </row>
        <row r="524">
          <cell r="O524">
            <v>70</v>
          </cell>
          <cell r="P524">
            <v>0</v>
          </cell>
          <cell r="Q524">
            <v>0</v>
          </cell>
          <cell r="R524">
            <v>0</v>
          </cell>
          <cell r="S524">
            <v>50</v>
          </cell>
        </row>
        <row r="526">
          <cell r="O526">
            <v>0</v>
          </cell>
          <cell r="P526">
            <v>0</v>
          </cell>
          <cell r="Q526">
            <v>50</v>
          </cell>
          <cell r="R526">
            <v>0</v>
          </cell>
          <cell r="S526">
            <v>20</v>
          </cell>
        </row>
        <row r="527">
          <cell r="O527">
            <v>30</v>
          </cell>
          <cell r="P527">
            <v>0</v>
          </cell>
          <cell r="Q527">
            <v>30</v>
          </cell>
          <cell r="R527">
            <v>20</v>
          </cell>
          <cell r="S527">
            <v>0</v>
          </cell>
        </row>
        <row r="528">
          <cell r="O528">
            <v>50</v>
          </cell>
          <cell r="P528">
            <v>0</v>
          </cell>
          <cell r="Q528">
            <v>0</v>
          </cell>
          <cell r="R528">
            <v>40</v>
          </cell>
          <cell r="S528">
            <v>20</v>
          </cell>
        </row>
        <row r="530">
          <cell r="O530">
            <v>0</v>
          </cell>
          <cell r="P530">
            <v>0</v>
          </cell>
          <cell r="Q530">
            <v>10</v>
          </cell>
          <cell r="R530">
            <v>0</v>
          </cell>
          <cell r="S530">
            <v>30</v>
          </cell>
        </row>
        <row r="531">
          <cell r="O531">
            <v>0</v>
          </cell>
          <cell r="P531">
            <v>0</v>
          </cell>
          <cell r="Q531">
            <v>0</v>
          </cell>
          <cell r="R531">
            <v>0</v>
          </cell>
          <cell r="S531">
            <v>70</v>
          </cell>
        </row>
        <row r="532">
          <cell r="O532">
            <v>20</v>
          </cell>
          <cell r="P532">
            <v>0</v>
          </cell>
          <cell r="Q532">
            <v>0</v>
          </cell>
          <cell r="R532">
            <v>10</v>
          </cell>
          <cell r="S532">
            <v>10</v>
          </cell>
        </row>
        <row r="533">
          <cell r="O533">
            <v>30</v>
          </cell>
          <cell r="P533">
            <v>0</v>
          </cell>
          <cell r="Q533">
            <v>0</v>
          </cell>
          <cell r="R533">
            <v>20</v>
          </cell>
          <cell r="S533">
            <v>40</v>
          </cell>
        </row>
        <row r="534">
          <cell r="O534">
            <v>10</v>
          </cell>
          <cell r="P534">
            <v>0</v>
          </cell>
          <cell r="Q534">
            <v>0</v>
          </cell>
          <cell r="R534">
            <v>20</v>
          </cell>
          <cell r="S534">
            <v>0</v>
          </cell>
        </row>
        <row r="535">
          <cell r="O535">
            <v>30</v>
          </cell>
          <cell r="P535">
            <v>0</v>
          </cell>
          <cell r="Q535">
            <v>0</v>
          </cell>
          <cell r="R535">
            <v>40</v>
          </cell>
          <cell r="S535">
            <v>0</v>
          </cell>
        </row>
        <row r="536">
          <cell r="O536">
            <v>40</v>
          </cell>
          <cell r="P536">
            <v>0</v>
          </cell>
          <cell r="Q536">
            <v>0</v>
          </cell>
          <cell r="R536">
            <v>50</v>
          </cell>
          <cell r="S536">
            <v>0</v>
          </cell>
        </row>
        <row r="537">
          <cell r="O537">
            <v>10</v>
          </cell>
          <cell r="P537">
            <v>40</v>
          </cell>
          <cell r="Q537">
            <v>20</v>
          </cell>
          <cell r="R537">
            <v>0</v>
          </cell>
          <cell r="S537">
            <v>0</v>
          </cell>
        </row>
        <row r="538">
          <cell r="O538">
            <v>10</v>
          </cell>
          <cell r="P538">
            <v>70</v>
          </cell>
          <cell r="Q538">
            <v>20</v>
          </cell>
          <cell r="R538">
            <v>0</v>
          </cell>
          <cell r="S538">
            <v>0</v>
          </cell>
        </row>
        <row r="539">
          <cell r="O539">
            <v>0</v>
          </cell>
          <cell r="P539">
            <v>20</v>
          </cell>
          <cell r="Q539">
            <v>30</v>
          </cell>
          <cell r="R539">
            <v>0</v>
          </cell>
          <cell r="S539">
            <v>0</v>
          </cell>
        </row>
        <row r="540">
          <cell r="O540">
            <v>10</v>
          </cell>
          <cell r="P540">
            <v>10</v>
          </cell>
          <cell r="Q540">
            <v>0</v>
          </cell>
          <cell r="R540">
            <v>0</v>
          </cell>
          <cell r="S540">
            <v>10</v>
          </cell>
        </row>
        <row r="541">
          <cell r="O541">
            <v>20</v>
          </cell>
          <cell r="P541">
            <v>0</v>
          </cell>
          <cell r="Q541">
            <v>0</v>
          </cell>
          <cell r="R541">
            <v>0</v>
          </cell>
          <cell r="S541">
            <v>40</v>
          </cell>
        </row>
        <row r="543">
          <cell r="O543">
            <v>60</v>
          </cell>
          <cell r="P543">
            <v>0</v>
          </cell>
          <cell r="Q543">
            <v>0</v>
          </cell>
          <cell r="R543">
            <v>60</v>
          </cell>
          <cell r="S543">
            <v>0</v>
          </cell>
        </row>
        <row r="544">
          <cell r="O544">
            <v>10</v>
          </cell>
          <cell r="P544">
            <v>0</v>
          </cell>
          <cell r="Q544">
            <v>0</v>
          </cell>
          <cell r="R544">
            <v>70</v>
          </cell>
          <cell r="S544">
            <v>10</v>
          </cell>
        </row>
        <row r="545">
          <cell r="O545">
            <v>0</v>
          </cell>
          <cell r="P545">
            <v>0</v>
          </cell>
          <cell r="Q545">
            <v>40</v>
          </cell>
          <cell r="R545">
            <v>20</v>
          </cell>
          <cell r="S545">
            <v>10</v>
          </cell>
        </row>
        <row r="546">
          <cell r="O546">
            <v>40</v>
          </cell>
          <cell r="P546">
            <v>0</v>
          </cell>
          <cell r="Q546">
            <v>0</v>
          </cell>
          <cell r="R546">
            <v>10</v>
          </cell>
          <cell r="S546">
            <v>90</v>
          </cell>
        </row>
        <row r="547">
          <cell r="O547">
            <v>20</v>
          </cell>
          <cell r="P547">
            <v>0</v>
          </cell>
          <cell r="Q547">
            <v>10</v>
          </cell>
          <cell r="R547">
            <v>40</v>
          </cell>
          <cell r="S547">
            <v>20</v>
          </cell>
        </row>
        <row r="548">
          <cell r="O548">
            <v>50</v>
          </cell>
          <cell r="P548">
            <v>0</v>
          </cell>
          <cell r="Q548">
            <v>0</v>
          </cell>
          <cell r="R548">
            <v>10</v>
          </cell>
          <cell r="S548">
            <v>30</v>
          </cell>
        </row>
        <row r="549">
          <cell r="O549">
            <v>50</v>
          </cell>
          <cell r="P549">
            <v>30</v>
          </cell>
          <cell r="Q549">
            <v>0</v>
          </cell>
          <cell r="R549">
            <v>10</v>
          </cell>
          <cell r="S549">
            <v>0</v>
          </cell>
        </row>
        <row r="550">
          <cell r="O550">
            <v>0</v>
          </cell>
          <cell r="P550">
            <v>50</v>
          </cell>
          <cell r="Q550">
            <v>70</v>
          </cell>
          <cell r="R550">
            <v>0</v>
          </cell>
          <cell r="S550">
            <v>0</v>
          </cell>
        </row>
        <row r="551">
          <cell r="O551">
            <v>50</v>
          </cell>
          <cell r="P551">
            <v>0</v>
          </cell>
          <cell r="Q551">
            <v>0</v>
          </cell>
          <cell r="R551">
            <v>40</v>
          </cell>
          <cell r="S551">
            <v>10</v>
          </cell>
        </row>
        <row r="552">
          <cell r="O552">
            <v>50</v>
          </cell>
          <cell r="P552">
            <v>20</v>
          </cell>
          <cell r="Q552">
            <v>30</v>
          </cell>
          <cell r="R552">
            <v>0</v>
          </cell>
          <cell r="S552">
            <v>0</v>
          </cell>
        </row>
        <row r="553">
          <cell r="O553">
            <v>0</v>
          </cell>
          <cell r="P553">
            <v>30</v>
          </cell>
          <cell r="Q553">
            <v>50</v>
          </cell>
          <cell r="R553">
            <v>0</v>
          </cell>
          <cell r="S553">
            <v>20</v>
          </cell>
        </row>
        <row r="554">
          <cell r="O554">
            <v>30</v>
          </cell>
          <cell r="P554">
            <v>0</v>
          </cell>
          <cell r="Q554">
            <v>0</v>
          </cell>
          <cell r="R554">
            <v>20</v>
          </cell>
          <cell r="S554">
            <v>30</v>
          </cell>
        </row>
        <row r="555">
          <cell r="O555">
            <v>20</v>
          </cell>
          <cell r="P555">
            <v>0</v>
          </cell>
          <cell r="Q555">
            <v>10</v>
          </cell>
          <cell r="R555">
            <v>0</v>
          </cell>
          <cell r="S555">
            <v>70</v>
          </cell>
        </row>
        <row r="556">
          <cell r="O556">
            <v>0</v>
          </cell>
          <cell r="P556">
            <v>0</v>
          </cell>
          <cell r="Q556">
            <v>0</v>
          </cell>
          <cell r="R556">
            <v>30</v>
          </cell>
          <cell r="S556">
            <v>0</v>
          </cell>
        </row>
        <row r="557">
          <cell r="O557">
            <v>70</v>
          </cell>
          <cell r="P557">
            <v>20</v>
          </cell>
          <cell r="Q557">
            <v>0</v>
          </cell>
          <cell r="R557">
            <v>30</v>
          </cell>
          <cell r="S557">
            <v>10</v>
          </cell>
        </row>
        <row r="559">
          <cell r="O559">
            <v>0</v>
          </cell>
          <cell r="P559">
            <v>0</v>
          </cell>
          <cell r="Q559">
            <v>0</v>
          </cell>
          <cell r="R559">
            <v>70</v>
          </cell>
          <cell r="S559">
            <v>30</v>
          </cell>
        </row>
        <row r="560">
          <cell r="O560">
            <v>40</v>
          </cell>
          <cell r="P560">
            <v>0</v>
          </cell>
          <cell r="Q560">
            <v>0</v>
          </cell>
          <cell r="R560">
            <v>30</v>
          </cell>
          <cell r="S560">
            <v>40</v>
          </cell>
        </row>
        <row r="561">
          <cell r="O561">
            <v>0</v>
          </cell>
          <cell r="P561">
            <v>40</v>
          </cell>
          <cell r="Q561">
            <v>20</v>
          </cell>
          <cell r="R561">
            <v>0</v>
          </cell>
          <cell r="S561">
            <v>0</v>
          </cell>
        </row>
        <row r="562">
          <cell r="O562">
            <v>10</v>
          </cell>
          <cell r="P562">
            <v>10</v>
          </cell>
          <cell r="Q562">
            <v>0</v>
          </cell>
          <cell r="R562">
            <v>40</v>
          </cell>
          <cell r="S562">
            <v>0</v>
          </cell>
        </row>
        <row r="563">
          <cell r="O563">
            <v>20</v>
          </cell>
          <cell r="P563">
            <v>0</v>
          </cell>
          <cell r="Q563">
            <v>0</v>
          </cell>
          <cell r="R563">
            <v>40</v>
          </cell>
          <cell r="S563">
            <v>20</v>
          </cell>
        </row>
        <row r="564">
          <cell r="O564">
            <v>20</v>
          </cell>
          <cell r="P564">
            <v>20</v>
          </cell>
          <cell r="Q564">
            <v>0</v>
          </cell>
          <cell r="R564">
            <v>40</v>
          </cell>
          <cell r="S564">
            <v>0</v>
          </cell>
        </row>
        <row r="565">
          <cell r="O565">
            <v>0</v>
          </cell>
          <cell r="P565">
            <v>20</v>
          </cell>
          <cell r="Q565">
            <v>0</v>
          </cell>
          <cell r="R565">
            <v>40</v>
          </cell>
          <cell r="S565">
            <v>20</v>
          </cell>
        </row>
        <row r="566">
          <cell r="O566">
            <v>0</v>
          </cell>
          <cell r="P566">
            <v>20</v>
          </cell>
          <cell r="Q566">
            <v>20</v>
          </cell>
          <cell r="R566">
            <v>40</v>
          </cell>
          <cell r="S566">
            <v>0</v>
          </cell>
        </row>
        <row r="567">
          <cell r="O567">
            <v>20</v>
          </cell>
          <cell r="P567">
            <v>0</v>
          </cell>
          <cell r="Q567">
            <v>20</v>
          </cell>
          <cell r="R567">
            <v>40</v>
          </cell>
          <cell r="S567">
            <v>0</v>
          </cell>
        </row>
        <row r="568">
          <cell r="O568">
            <v>0</v>
          </cell>
          <cell r="P568">
            <v>0</v>
          </cell>
          <cell r="Q568">
            <v>20</v>
          </cell>
          <cell r="R568">
            <v>100</v>
          </cell>
          <cell r="S568">
            <v>0</v>
          </cell>
        </row>
        <row r="569">
          <cell r="O569">
            <v>0</v>
          </cell>
          <cell r="P569">
            <v>20</v>
          </cell>
          <cell r="Q569">
            <v>50</v>
          </cell>
          <cell r="R569">
            <v>50</v>
          </cell>
          <cell r="S569">
            <v>0</v>
          </cell>
        </row>
        <row r="570">
          <cell r="O570">
            <v>20</v>
          </cell>
          <cell r="P570">
            <v>0</v>
          </cell>
          <cell r="Q570">
            <v>0</v>
          </cell>
          <cell r="R570">
            <v>50</v>
          </cell>
          <cell r="S570">
            <v>50</v>
          </cell>
        </row>
        <row r="571">
          <cell r="O571">
            <v>60</v>
          </cell>
          <cell r="P571">
            <v>20</v>
          </cell>
          <cell r="Q571">
            <v>0</v>
          </cell>
          <cell r="R571">
            <v>40</v>
          </cell>
          <cell r="S571">
            <v>40</v>
          </cell>
        </row>
        <row r="572">
          <cell r="O572">
            <v>60</v>
          </cell>
          <cell r="P572">
            <v>40</v>
          </cell>
          <cell r="Q572">
            <v>0</v>
          </cell>
          <cell r="R572">
            <v>20</v>
          </cell>
          <cell r="S572">
            <v>40</v>
          </cell>
        </row>
        <row r="573">
          <cell r="O573">
            <v>60</v>
          </cell>
          <cell r="P573">
            <v>0</v>
          </cell>
          <cell r="Q573">
            <v>0</v>
          </cell>
          <cell r="R573">
            <v>0</v>
          </cell>
          <cell r="S573">
            <v>60</v>
          </cell>
        </row>
        <row r="574">
          <cell r="O574">
            <v>40</v>
          </cell>
          <cell r="P574">
            <v>0</v>
          </cell>
          <cell r="Q574">
            <v>0</v>
          </cell>
          <cell r="R574">
            <v>40</v>
          </cell>
          <cell r="S574">
            <v>80</v>
          </cell>
        </row>
        <row r="575">
          <cell r="O575">
            <v>40</v>
          </cell>
          <cell r="P575">
            <v>0</v>
          </cell>
          <cell r="Q575">
            <v>0</v>
          </cell>
          <cell r="R575">
            <v>60</v>
          </cell>
          <cell r="S575">
            <v>60</v>
          </cell>
        </row>
        <row r="576">
          <cell r="O576">
            <v>60</v>
          </cell>
          <cell r="P576">
            <v>0</v>
          </cell>
          <cell r="Q576">
            <v>0</v>
          </cell>
          <cell r="R576">
            <v>60</v>
          </cell>
          <cell r="S576">
            <v>40</v>
          </cell>
        </row>
        <row r="577">
          <cell r="O577">
            <v>0</v>
          </cell>
          <cell r="P577">
            <v>90</v>
          </cell>
          <cell r="Q577">
            <v>40</v>
          </cell>
          <cell r="R577">
            <v>30</v>
          </cell>
          <cell r="S577">
            <v>0</v>
          </cell>
        </row>
        <row r="578">
          <cell r="O578">
            <v>0</v>
          </cell>
          <cell r="P578">
            <v>30</v>
          </cell>
          <cell r="Q578">
            <v>40</v>
          </cell>
          <cell r="R578">
            <v>0</v>
          </cell>
          <cell r="S578">
            <v>0</v>
          </cell>
        </row>
        <row r="579">
          <cell r="O579">
            <v>0</v>
          </cell>
          <cell r="P579">
            <v>40</v>
          </cell>
          <cell r="Q579">
            <v>60</v>
          </cell>
          <cell r="R579">
            <v>20</v>
          </cell>
          <cell r="S579">
            <v>0</v>
          </cell>
        </row>
        <row r="580">
          <cell r="O580">
            <v>50</v>
          </cell>
          <cell r="P580">
            <v>20</v>
          </cell>
          <cell r="Q580">
            <v>0</v>
          </cell>
          <cell r="R580">
            <v>70</v>
          </cell>
          <cell r="S580">
            <v>20</v>
          </cell>
        </row>
        <row r="581">
          <cell r="O581">
            <v>0</v>
          </cell>
          <cell r="P581">
            <v>70</v>
          </cell>
          <cell r="Q581">
            <v>60</v>
          </cell>
          <cell r="R581">
            <v>30</v>
          </cell>
          <cell r="S581">
            <v>0</v>
          </cell>
        </row>
        <row r="582">
          <cell r="O582">
            <v>40</v>
          </cell>
          <cell r="P582">
            <v>40</v>
          </cell>
          <cell r="Q582">
            <v>50</v>
          </cell>
          <cell r="R582">
            <v>30</v>
          </cell>
          <cell r="S582">
            <v>0</v>
          </cell>
        </row>
        <row r="583">
          <cell r="O583">
            <v>40</v>
          </cell>
          <cell r="P583">
            <v>40</v>
          </cell>
          <cell r="Q583">
            <v>40</v>
          </cell>
          <cell r="R583">
            <v>40</v>
          </cell>
          <cell r="S583">
            <v>40</v>
          </cell>
        </row>
        <row r="584">
          <cell r="O584">
            <v>40</v>
          </cell>
          <cell r="P584">
            <v>20</v>
          </cell>
          <cell r="Q584">
            <v>40</v>
          </cell>
          <cell r="R584">
            <v>20</v>
          </cell>
          <cell r="S584">
            <v>0</v>
          </cell>
        </row>
        <row r="585">
          <cell r="O585">
            <v>0</v>
          </cell>
          <cell r="P585">
            <v>10</v>
          </cell>
          <cell r="Q585">
            <v>0</v>
          </cell>
          <cell r="R585">
            <v>20</v>
          </cell>
          <cell r="S585">
            <v>10</v>
          </cell>
        </row>
        <row r="586">
          <cell r="O586">
            <v>0</v>
          </cell>
          <cell r="P586">
            <v>10</v>
          </cell>
          <cell r="Q586">
            <v>10</v>
          </cell>
          <cell r="R586">
            <v>30</v>
          </cell>
          <cell r="S586">
            <v>10</v>
          </cell>
        </row>
        <row r="587">
          <cell r="O587">
            <v>20</v>
          </cell>
          <cell r="P587">
            <v>10</v>
          </cell>
          <cell r="Q587">
            <v>0</v>
          </cell>
          <cell r="R587">
            <v>40</v>
          </cell>
          <cell r="S587">
            <v>20</v>
          </cell>
        </row>
        <row r="588">
          <cell r="O588">
            <v>10</v>
          </cell>
          <cell r="P588">
            <v>0</v>
          </cell>
          <cell r="Q588">
            <v>20</v>
          </cell>
          <cell r="R588">
            <v>0</v>
          </cell>
          <cell r="S588">
            <v>10</v>
          </cell>
        </row>
        <row r="589">
          <cell r="O589">
            <v>20</v>
          </cell>
          <cell r="P589">
            <v>0</v>
          </cell>
          <cell r="Q589">
            <v>10</v>
          </cell>
          <cell r="R589">
            <v>0</v>
          </cell>
          <cell r="S589">
            <v>30</v>
          </cell>
        </row>
        <row r="590">
          <cell r="O590">
            <v>30</v>
          </cell>
          <cell r="P590">
            <v>0</v>
          </cell>
          <cell r="Q590">
            <v>0</v>
          </cell>
          <cell r="R590">
            <v>0</v>
          </cell>
          <cell r="S590">
            <v>50</v>
          </cell>
        </row>
        <row r="591">
          <cell r="O591">
            <v>20</v>
          </cell>
          <cell r="P591">
            <v>0</v>
          </cell>
          <cell r="Q591">
            <v>0</v>
          </cell>
          <cell r="R591">
            <v>10</v>
          </cell>
          <cell r="S591">
            <v>10</v>
          </cell>
        </row>
        <row r="592">
          <cell r="O592">
            <v>40</v>
          </cell>
          <cell r="P592">
            <v>0</v>
          </cell>
          <cell r="Q592">
            <v>0</v>
          </cell>
          <cell r="R592">
            <v>20</v>
          </cell>
          <cell r="S592">
            <v>10</v>
          </cell>
        </row>
        <row r="593">
          <cell r="O593">
            <v>50</v>
          </cell>
          <cell r="P593">
            <v>10</v>
          </cell>
          <cell r="Q593">
            <v>0</v>
          </cell>
          <cell r="R593">
            <v>20</v>
          </cell>
          <cell r="S593">
            <v>20</v>
          </cell>
        </row>
        <row r="594">
          <cell r="O594">
            <v>0</v>
          </cell>
          <cell r="P594">
            <v>0</v>
          </cell>
          <cell r="Q594">
            <v>10</v>
          </cell>
          <cell r="R594">
            <v>20</v>
          </cell>
          <cell r="S594">
            <v>0</v>
          </cell>
        </row>
        <row r="595">
          <cell r="O595">
            <v>0</v>
          </cell>
          <cell r="P595">
            <v>0</v>
          </cell>
          <cell r="Q595">
            <v>10</v>
          </cell>
          <cell r="R595">
            <v>30</v>
          </cell>
          <cell r="S595">
            <v>10</v>
          </cell>
        </row>
        <row r="596">
          <cell r="O596">
            <v>0</v>
          </cell>
          <cell r="P596">
            <v>0</v>
          </cell>
          <cell r="Q596">
            <v>40</v>
          </cell>
          <cell r="R596">
            <v>0</v>
          </cell>
          <cell r="S596">
            <v>0</v>
          </cell>
        </row>
        <row r="597">
          <cell r="O597">
            <v>0</v>
          </cell>
          <cell r="P597">
            <v>0</v>
          </cell>
          <cell r="Q597">
            <v>30</v>
          </cell>
          <cell r="R597">
            <v>10</v>
          </cell>
          <cell r="S597">
            <v>20</v>
          </cell>
        </row>
        <row r="598">
          <cell r="O598">
            <v>10</v>
          </cell>
          <cell r="P598">
            <v>10</v>
          </cell>
          <cell r="Q598">
            <v>10</v>
          </cell>
          <cell r="R598">
            <v>20</v>
          </cell>
          <cell r="S598">
            <v>30</v>
          </cell>
        </row>
        <row r="599">
          <cell r="O599">
            <v>0</v>
          </cell>
          <cell r="P599">
            <v>10</v>
          </cell>
          <cell r="Q599">
            <v>20</v>
          </cell>
          <cell r="R599">
            <v>20</v>
          </cell>
          <cell r="S599">
            <v>0</v>
          </cell>
        </row>
        <row r="600">
          <cell r="O600">
            <v>10</v>
          </cell>
          <cell r="P600">
            <v>20</v>
          </cell>
          <cell r="Q600">
            <v>30</v>
          </cell>
          <cell r="R600">
            <v>60</v>
          </cell>
          <cell r="S600">
            <v>0</v>
          </cell>
        </row>
        <row r="601">
          <cell r="O601">
            <v>0</v>
          </cell>
          <cell r="P601">
            <v>0</v>
          </cell>
          <cell r="Q601">
            <v>10</v>
          </cell>
          <cell r="R601">
            <v>10</v>
          </cell>
          <cell r="S601">
            <v>0</v>
          </cell>
        </row>
        <row r="602">
          <cell r="O602">
            <v>20</v>
          </cell>
          <cell r="P602">
            <v>0</v>
          </cell>
          <cell r="Q602">
            <v>0</v>
          </cell>
          <cell r="R602">
            <v>30</v>
          </cell>
          <cell r="S602">
            <v>0</v>
          </cell>
        </row>
        <row r="603">
          <cell r="O603">
            <v>0</v>
          </cell>
          <cell r="P603">
            <v>0</v>
          </cell>
          <cell r="Q603">
            <v>10</v>
          </cell>
          <cell r="R603">
            <v>10</v>
          </cell>
          <cell r="S603">
            <v>0</v>
          </cell>
        </row>
        <row r="604">
          <cell r="O604">
            <v>0</v>
          </cell>
          <cell r="P604">
            <v>0</v>
          </cell>
          <cell r="Q604">
            <v>20</v>
          </cell>
          <cell r="R604">
            <v>30</v>
          </cell>
          <cell r="S604">
            <v>0</v>
          </cell>
        </row>
        <row r="605">
          <cell r="O605">
            <v>0</v>
          </cell>
          <cell r="P605">
            <v>0</v>
          </cell>
          <cell r="Q605">
            <v>10</v>
          </cell>
          <cell r="R605">
            <v>10</v>
          </cell>
          <cell r="S605">
            <v>0</v>
          </cell>
        </row>
        <row r="606">
          <cell r="O606">
            <v>0</v>
          </cell>
          <cell r="P606">
            <v>20</v>
          </cell>
          <cell r="Q606">
            <v>0</v>
          </cell>
          <cell r="R606">
            <v>30</v>
          </cell>
          <cell r="S606">
            <v>0</v>
          </cell>
        </row>
        <row r="607">
          <cell r="O607">
            <v>0</v>
          </cell>
          <cell r="P607">
            <v>0</v>
          </cell>
          <cell r="Q607">
            <v>40</v>
          </cell>
          <cell r="R607">
            <v>0</v>
          </cell>
          <cell r="S607">
            <v>0</v>
          </cell>
        </row>
        <row r="608">
          <cell r="O608">
            <v>0</v>
          </cell>
          <cell r="P608">
            <v>10</v>
          </cell>
          <cell r="Q608">
            <v>20</v>
          </cell>
          <cell r="R608">
            <v>10</v>
          </cell>
          <cell r="S608">
            <v>0</v>
          </cell>
        </row>
        <row r="609">
          <cell r="O609">
            <v>0</v>
          </cell>
          <cell r="P609">
            <v>0</v>
          </cell>
          <cell r="Q609">
            <v>10</v>
          </cell>
          <cell r="R609">
            <v>0</v>
          </cell>
          <cell r="S609">
            <v>0</v>
          </cell>
        </row>
        <row r="610">
          <cell r="O610">
            <v>0</v>
          </cell>
          <cell r="P610">
            <v>0</v>
          </cell>
          <cell r="Q610">
            <v>10</v>
          </cell>
          <cell r="R610">
            <v>30</v>
          </cell>
          <cell r="S610">
            <v>0</v>
          </cell>
        </row>
        <row r="611">
          <cell r="O611">
            <v>20</v>
          </cell>
          <cell r="P611">
            <v>10</v>
          </cell>
          <cell r="Q611">
            <v>30</v>
          </cell>
          <cell r="R611">
            <v>40</v>
          </cell>
          <cell r="S611">
            <v>10</v>
          </cell>
        </row>
        <row r="612">
          <cell r="O612">
            <v>20</v>
          </cell>
          <cell r="P612">
            <v>30</v>
          </cell>
          <cell r="Q612">
            <v>10</v>
          </cell>
          <cell r="R612">
            <v>40</v>
          </cell>
          <cell r="S612">
            <v>10</v>
          </cell>
        </row>
        <row r="613">
          <cell r="O613">
            <v>30</v>
          </cell>
          <cell r="P613">
            <v>0</v>
          </cell>
          <cell r="Q613">
            <v>20</v>
          </cell>
          <cell r="R613">
            <v>0</v>
          </cell>
          <cell r="S613">
            <v>0</v>
          </cell>
        </row>
        <row r="614">
          <cell r="O614">
            <v>50</v>
          </cell>
          <cell r="P614">
            <v>20</v>
          </cell>
          <cell r="Q614">
            <v>0</v>
          </cell>
          <cell r="R614">
            <v>0</v>
          </cell>
          <cell r="S614">
            <v>20</v>
          </cell>
        </row>
        <row r="615">
          <cell r="O615">
            <v>0</v>
          </cell>
          <cell r="P615">
            <v>0</v>
          </cell>
          <cell r="Q615">
            <v>0</v>
          </cell>
          <cell r="R615">
            <v>0</v>
          </cell>
          <cell r="S615">
            <v>40</v>
          </cell>
        </row>
        <row r="616">
          <cell r="O616">
            <v>0</v>
          </cell>
          <cell r="P616">
            <v>10</v>
          </cell>
          <cell r="Q616">
            <v>0</v>
          </cell>
          <cell r="R616">
            <v>0</v>
          </cell>
          <cell r="S616">
            <v>60</v>
          </cell>
        </row>
        <row r="617">
          <cell r="O617">
            <v>20</v>
          </cell>
          <cell r="P617">
            <v>20</v>
          </cell>
          <cell r="Q617">
            <v>0</v>
          </cell>
          <cell r="R617">
            <v>0</v>
          </cell>
          <cell r="S617">
            <v>80</v>
          </cell>
        </row>
        <row r="618">
          <cell r="O618">
            <v>0</v>
          </cell>
          <cell r="P618">
            <v>0</v>
          </cell>
          <cell r="Q618">
            <v>40</v>
          </cell>
          <cell r="R618">
            <v>0</v>
          </cell>
          <cell r="S618">
            <v>0</v>
          </cell>
        </row>
        <row r="619">
          <cell r="O619">
            <v>0</v>
          </cell>
          <cell r="P619">
            <v>0</v>
          </cell>
          <cell r="Q619">
            <v>40</v>
          </cell>
          <cell r="R619">
            <v>30</v>
          </cell>
          <cell r="S619">
            <v>0</v>
          </cell>
        </row>
        <row r="620">
          <cell r="O620">
            <v>0</v>
          </cell>
          <cell r="P620">
            <v>0</v>
          </cell>
          <cell r="Q620">
            <v>20</v>
          </cell>
          <cell r="R620">
            <v>0</v>
          </cell>
          <cell r="S620">
            <v>20</v>
          </cell>
        </row>
        <row r="621">
          <cell r="O621">
            <v>30</v>
          </cell>
          <cell r="P621">
            <v>0</v>
          </cell>
          <cell r="Q621">
            <v>0</v>
          </cell>
          <cell r="R621">
            <v>10</v>
          </cell>
          <cell r="S621">
            <v>40</v>
          </cell>
        </row>
        <row r="622">
          <cell r="O622">
            <v>0</v>
          </cell>
          <cell r="P622">
            <v>30</v>
          </cell>
          <cell r="Q622">
            <v>30</v>
          </cell>
          <cell r="R622">
            <v>20</v>
          </cell>
          <cell r="S622">
            <v>0</v>
          </cell>
        </row>
        <row r="624">
          <cell r="O624">
            <v>0</v>
          </cell>
          <cell r="P624">
            <v>0</v>
          </cell>
          <cell r="Q624">
            <v>10</v>
          </cell>
          <cell r="R624">
            <v>10</v>
          </cell>
          <cell r="S624">
            <v>20</v>
          </cell>
        </row>
        <row r="625">
          <cell r="O625">
            <v>0</v>
          </cell>
          <cell r="P625">
            <v>0</v>
          </cell>
          <cell r="Q625">
            <v>0</v>
          </cell>
          <cell r="R625">
            <v>10</v>
          </cell>
          <cell r="S625">
            <v>40</v>
          </cell>
        </row>
        <row r="626">
          <cell r="O626">
            <v>10</v>
          </cell>
          <cell r="P626">
            <v>0</v>
          </cell>
          <cell r="Q626">
            <v>0</v>
          </cell>
          <cell r="R626">
            <v>10</v>
          </cell>
          <cell r="S626">
            <v>60</v>
          </cell>
        </row>
        <row r="627">
          <cell r="O627">
            <v>10</v>
          </cell>
          <cell r="P627">
            <v>0</v>
          </cell>
          <cell r="Q627">
            <v>20</v>
          </cell>
          <cell r="R627">
            <v>20</v>
          </cell>
          <cell r="S627">
            <v>0</v>
          </cell>
        </row>
        <row r="628">
          <cell r="O628">
            <v>10</v>
          </cell>
          <cell r="P628">
            <v>0</v>
          </cell>
          <cell r="Q628">
            <v>10</v>
          </cell>
          <cell r="R628">
            <v>20</v>
          </cell>
          <cell r="S628">
            <v>10</v>
          </cell>
        </row>
        <row r="629">
          <cell r="O629">
            <v>10</v>
          </cell>
          <cell r="P629">
            <v>0</v>
          </cell>
          <cell r="Q629">
            <v>10</v>
          </cell>
          <cell r="R629">
            <v>40</v>
          </cell>
          <cell r="S629">
            <v>20</v>
          </cell>
        </row>
        <row r="630">
          <cell r="O630">
            <v>10</v>
          </cell>
          <cell r="P630">
            <v>0</v>
          </cell>
          <cell r="Q630">
            <v>0</v>
          </cell>
          <cell r="R630">
            <v>20</v>
          </cell>
          <cell r="S630">
            <v>30</v>
          </cell>
        </row>
        <row r="631">
          <cell r="O631">
            <v>30</v>
          </cell>
          <cell r="P631">
            <v>0</v>
          </cell>
          <cell r="Q631">
            <v>0</v>
          </cell>
          <cell r="R631">
            <v>20</v>
          </cell>
          <cell r="S631">
            <v>10</v>
          </cell>
        </row>
        <row r="632">
          <cell r="O632">
            <v>0</v>
          </cell>
          <cell r="P632">
            <v>0</v>
          </cell>
          <cell r="Q632">
            <v>10</v>
          </cell>
          <cell r="R632">
            <v>10</v>
          </cell>
          <cell r="S632">
            <v>0</v>
          </cell>
        </row>
        <row r="633">
          <cell r="O633">
            <v>0</v>
          </cell>
          <cell r="P633">
            <v>0</v>
          </cell>
          <cell r="Q633">
            <v>20</v>
          </cell>
          <cell r="R633">
            <v>10</v>
          </cell>
          <cell r="S633">
            <v>10</v>
          </cell>
        </row>
        <row r="634">
          <cell r="O634">
            <v>20</v>
          </cell>
          <cell r="P634">
            <v>40</v>
          </cell>
          <cell r="Q634">
            <v>30</v>
          </cell>
          <cell r="R634">
            <v>30</v>
          </cell>
          <cell r="S634">
            <v>0</v>
          </cell>
        </row>
        <row r="635">
          <cell r="O635">
            <v>20</v>
          </cell>
          <cell r="P635">
            <v>0</v>
          </cell>
          <cell r="Q635">
            <v>0</v>
          </cell>
          <cell r="R635">
            <v>10</v>
          </cell>
          <cell r="S635">
            <v>10</v>
          </cell>
        </row>
        <row r="636">
          <cell r="O636">
            <v>40</v>
          </cell>
          <cell r="P636">
            <v>0</v>
          </cell>
          <cell r="Q636">
            <v>0</v>
          </cell>
          <cell r="R636">
            <v>10</v>
          </cell>
          <cell r="S636">
            <v>30</v>
          </cell>
        </row>
        <row r="637">
          <cell r="O637">
            <v>60</v>
          </cell>
          <cell r="P637">
            <v>0</v>
          </cell>
          <cell r="Q637">
            <v>0</v>
          </cell>
          <cell r="R637">
            <v>10</v>
          </cell>
          <cell r="S637">
            <v>30</v>
          </cell>
        </row>
        <row r="638">
          <cell r="O638">
            <v>0</v>
          </cell>
          <cell r="P638">
            <v>0</v>
          </cell>
          <cell r="Q638">
            <v>30</v>
          </cell>
          <cell r="R638">
            <v>20</v>
          </cell>
          <cell r="S638">
            <v>0</v>
          </cell>
        </row>
        <row r="639">
          <cell r="O639">
            <v>0</v>
          </cell>
          <cell r="P639">
            <v>0</v>
          </cell>
          <cell r="Q639">
            <v>40</v>
          </cell>
          <cell r="R639">
            <v>30</v>
          </cell>
          <cell r="S639">
            <v>0</v>
          </cell>
        </row>
        <row r="640">
          <cell r="O640">
            <v>0</v>
          </cell>
          <cell r="P640">
            <v>20</v>
          </cell>
          <cell r="Q640">
            <v>30</v>
          </cell>
          <cell r="R640">
            <v>0</v>
          </cell>
          <cell r="S640">
            <v>0</v>
          </cell>
        </row>
        <row r="641">
          <cell r="O641">
            <v>0</v>
          </cell>
          <cell r="P641">
            <v>30</v>
          </cell>
          <cell r="Q641">
            <v>40</v>
          </cell>
          <cell r="R641">
            <v>0</v>
          </cell>
          <cell r="S641">
            <v>0</v>
          </cell>
        </row>
        <row r="642">
          <cell r="O642">
            <v>10</v>
          </cell>
          <cell r="P642">
            <v>0</v>
          </cell>
          <cell r="Q642">
            <v>0</v>
          </cell>
          <cell r="R642">
            <v>0</v>
          </cell>
          <cell r="S642">
            <v>40</v>
          </cell>
        </row>
        <row r="643">
          <cell r="O643">
            <v>30</v>
          </cell>
          <cell r="P643">
            <v>0</v>
          </cell>
          <cell r="Q643">
            <v>0</v>
          </cell>
          <cell r="R643">
            <v>0</v>
          </cell>
          <cell r="S643">
            <v>20</v>
          </cell>
        </row>
        <row r="644">
          <cell r="O644">
            <v>30</v>
          </cell>
          <cell r="P644">
            <v>0</v>
          </cell>
          <cell r="Q644">
            <v>0</v>
          </cell>
          <cell r="R644">
            <v>0</v>
          </cell>
          <cell r="S644">
            <v>10</v>
          </cell>
        </row>
        <row r="645">
          <cell r="O645">
            <v>50</v>
          </cell>
          <cell r="P645">
            <v>0</v>
          </cell>
          <cell r="Q645">
            <v>0</v>
          </cell>
          <cell r="R645">
            <v>0</v>
          </cell>
          <cell r="S645">
            <v>30</v>
          </cell>
        </row>
        <row r="646">
          <cell r="O646">
            <v>80</v>
          </cell>
          <cell r="P646">
            <v>0</v>
          </cell>
          <cell r="Q646">
            <v>0</v>
          </cell>
          <cell r="R646">
            <v>0</v>
          </cell>
          <cell r="S646">
            <v>40</v>
          </cell>
        </row>
        <row r="647">
          <cell r="O647">
            <v>20</v>
          </cell>
          <cell r="P647">
            <v>0</v>
          </cell>
          <cell r="Q647">
            <v>20</v>
          </cell>
          <cell r="R647">
            <v>10</v>
          </cell>
          <cell r="S647">
            <v>10</v>
          </cell>
        </row>
        <row r="648">
          <cell r="O648">
            <v>0</v>
          </cell>
          <cell r="P648">
            <v>20</v>
          </cell>
          <cell r="Q648">
            <v>20</v>
          </cell>
          <cell r="R648">
            <v>10</v>
          </cell>
          <cell r="S648">
            <v>10</v>
          </cell>
        </row>
        <row r="649">
          <cell r="O649">
            <v>50</v>
          </cell>
          <cell r="P649">
            <v>0</v>
          </cell>
          <cell r="Q649">
            <v>0</v>
          </cell>
          <cell r="R649">
            <v>20</v>
          </cell>
          <cell r="S649">
            <v>30</v>
          </cell>
        </row>
        <row r="651">
          <cell r="O651">
            <v>0</v>
          </cell>
          <cell r="P651">
            <v>30</v>
          </cell>
          <cell r="Q651">
            <v>20</v>
          </cell>
          <cell r="R651">
            <v>20</v>
          </cell>
          <cell r="S651">
            <v>30</v>
          </cell>
        </row>
        <row r="653">
          <cell r="O653">
            <v>10</v>
          </cell>
          <cell r="P653">
            <v>10</v>
          </cell>
          <cell r="Q653">
            <v>20</v>
          </cell>
          <cell r="R653">
            <v>30</v>
          </cell>
          <cell r="S653">
            <v>0</v>
          </cell>
        </row>
        <row r="654">
          <cell r="O654">
            <v>0</v>
          </cell>
          <cell r="P654">
            <v>0</v>
          </cell>
          <cell r="Q654">
            <v>10</v>
          </cell>
          <cell r="R654">
            <v>30</v>
          </cell>
          <cell r="S654">
            <v>30</v>
          </cell>
        </row>
        <row r="655">
          <cell r="O655">
            <v>0</v>
          </cell>
          <cell r="P655">
            <v>0</v>
          </cell>
          <cell r="Q655">
            <v>0</v>
          </cell>
          <cell r="R655">
            <v>50</v>
          </cell>
          <cell r="S655">
            <v>70</v>
          </cell>
        </row>
        <row r="656">
          <cell r="O656">
            <v>30</v>
          </cell>
          <cell r="P656">
            <v>0</v>
          </cell>
          <cell r="Q656">
            <v>0</v>
          </cell>
          <cell r="R656">
            <v>0</v>
          </cell>
          <cell r="S656">
            <v>10</v>
          </cell>
        </row>
        <row r="657">
          <cell r="O657">
            <v>40</v>
          </cell>
          <cell r="P657">
            <v>0</v>
          </cell>
          <cell r="Q657">
            <v>0</v>
          </cell>
          <cell r="R657">
            <v>20</v>
          </cell>
          <cell r="S657">
            <v>30</v>
          </cell>
        </row>
        <row r="658">
          <cell r="O658">
            <v>0</v>
          </cell>
          <cell r="P658">
            <v>0</v>
          </cell>
          <cell r="Q658">
            <v>0</v>
          </cell>
          <cell r="R658">
            <v>80</v>
          </cell>
          <cell r="S658">
            <v>0</v>
          </cell>
        </row>
        <row r="659">
          <cell r="O659">
            <v>0</v>
          </cell>
          <cell r="P659">
            <v>10</v>
          </cell>
          <cell r="Q659">
            <v>20</v>
          </cell>
          <cell r="R659">
            <v>0</v>
          </cell>
          <cell r="S659">
            <v>0</v>
          </cell>
        </row>
        <row r="660">
          <cell r="O660">
            <v>0</v>
          </cell>
          <cell r="P660">
            <v>0</v>
          </cell>
          <cell r="Q660">
            <v>20</v>
          </cell>
          <cell r="R660">
            <v>0</v>
          </cell>
          <cell r="S660">
            <v>10</v>
          </cell>
        </row>
        <row r="661">
          <cell r="O661">
            <v>0</v>
          </cell>
          <cell r="P661">
            <v>50</v>
          </cell>
          <cell r="Q661">
            <v>0</v>
          </cell>
          <cell r="R661">
            <v>20</v>
          </cell>
          <cell r="S661">
            <v>30</v>
          </cell>
        </row>
        <row r="662">
          <cell r="O662">
            <v>10</v>
          </cell>
          <cell r="P662">
            <v>10</v>
          </cell>
          <cell r="Q662">
            <v>0</v>
          </cell>
          <cell r="R662">
            <v>0</v>
          </cell>
          <cell r="S662">
            <v>20</v>
          </cell>
        </row>
        <row r="663">
          <cell r="O663">
            <v>20</v>
          </cell>
          <cell r="P663">
            <v>10</v>
          </cell>
          <cell r="Q663">
            <v>0</v>
          </cell>
          <cell r="R663">
            <v>0</v>
          </cell>
          <cell r="S663">
            <v>40</v>
          </cell>
        </row>
        <row r="664">
          <cell r="O664">
            <v>20</v>
          </cell>
          <cell r="P664">
            <v>10</v>
          </cell>
          <cell r="Q664">
            <v>20</v>
          </cell>
          <cell r="R664">
            <v>10</v>
          </cell>
          <cell r="S664">
            <v>10</v>
          </cell>
        </row>
        <row r="665">
          <cell r="O665">
            <v>30</v>
          </cell>
          <cell r="P665">
            <v>10</v>
          </cell>
          <cell r="Q665">
            <v>10</v>
          </cell>
          <cell r="R665">
            <v>20</v>
          </cell>
          <cell r="S665">
            <v>30</v>
          </cell>
        </row>
        <row r="666">
          <cell r="O666">
            <v>0</v>
          </cell>
          <cell r="P666">
            <v>0</v>
          </cell>
          <cell r="Q666">
            <v>10</v>
          </cell>
          <cell r="R666">
            <v>0</v>
          </cell>
          <cell r="S666">
            <v>0</v>
          </cell>
        </row>
        <row r="667">
          <cell r="O667">
            <v>0</v>
          </cell>
          <cell r="P667">
            <v>0</v>
          </cell>
          <cell r="Q667">
            <v>0</v>
          </cell>
          <cell r="R667">
            <v>0</v>
          </cell>
          <cell r="S667">
            <v>20</v>
          </cell>
        </row>
        <row r="668">
          <cell r="O668">
            <v>10</v>
          </cell>
          <cell r="P668">
            <v>10</v>
          </cell>
          <cell r="Q668">
            <v>20</v>
          </cell>
          <cell r="R668">
            <v>30</v>
          </cell>
          <cell r="S668">
            <v>0</v>
          </cell>
        </row>
        <row r="669">
          <cell r="O669">
            <v>40</v>
          </cell>
          <cell r="P669">
            <v>20</v>
          </cell>
          <cell r="Q669">
            <v>0</v>
          </cell>
          <cell r="R669">
            <v>60</v>
          </cell>
          <cell r="S669">
            <v>0</v>
          </cell>
        </row>
        <row r="670">
          <cell r="O670">
            <v>0</v>
          </cell>
          <cell r="P670">
            <v>40</v>
          </cell>
          <cell r="Q670">
            <v>40</v>
          </cell>
          <cell r="R670">
            <v>0</v>
          </cell>
          <cell r="S670">
            <v>0</v>
          </cell>
        </row>
        <row r="671">
          <cell r="O671">
            <v>0</v>
          </cell>
          <cell r="P671">
            <v>80</v>
          </cell>
          <cell r="Q671">
            <v>70</v>
          </cell>
          <cell r="R671">
            <v>0</v>
          </cell>
          <cell r="S671">
            <v>0</v>
          </cell>
        </row>
        <row r="672">
          <cell r="O672">
            <v>0</v>
          </cell>
          <cell r="P672">
            <v>0</v>
          </cell>
          <cell r="Q672">
            <v>40</v>
          </cell>
          <cell r="R672">
            <v>0</v>
          </cell>
          <cell r="S672">
            <v>0</v>
          </cell>
        </row>
        <row r="673">
          <cell r="O673">
            <v>0</v>
          </cell>
          <cell r="P673">
            <v>30</v>
          </cell>
          <cell r="Q673">
            <v>30</v>
          </cell>
          <cell r="R673">
            <v>0</v>
          </cell>
          <cell r="S673">
            <v>0</v>
          </cell>
        </row>
        <row r="674">
          <cell r="O674">
            <v>0</v>
          </cell>
          <cell r="P674">
            <v>30</v>
          </cell>
          <cell r="Q674">
            <v>10</v>
          </cell>
          <cell r="R674">
            <v>30</v>
          </cell>
          <cell r="S674">
            <v>0</v>
          </cell>
        </row>
        <row r="675">
          <cell r="O675">
            <v>0</v>
          </cell>
          <cell r="P675">
            <v>0</v>
          </cell>
          <cell r="Q675">
            <v>30</v>
          </cell>
          <cell r="R675">
            <v>20</v>
          </cell>
          <cell r="S675">
            <v>0</v>
          </cell>
        </row>
        <row r="676">
          <cell r="O676">
            <v>0</v>
          </cell>
          <cell r="P676">
            <v>0</v>
          </cell>
          <cell r="Q676">
            <v>20</v>
          </cell>
          <cell r="R676">
            <v>30</v>
          </cell>
          <cell r="S676">
            <v>0</v>
          </cell>
        </row>
        <row r="677">
          <cell r="O677">
            <v>0</v>
          </cell>
          <cell r="P677">
            <v>0</v>
          </cell>
          <cell r="Q677">
            <v>20</v>
          </cell>
          <cell r="R677">
            <v>50</v>
          </cell>
          <cell r="S677">
            <v>0</v>
          </cell>
        </row>
        <row r="678">
          <cell r="O678">
            <v>0</v>
          </cell>
          <cell r="P678">
            <v>10</v>
          </cell>
          <cell r="Q678">
            <v>30</v>
          </cell>
          <cell r="R678">
            <v>0</v>
          </cell>
          <cell r="S678">
            <v>0</v>
          </cell>
        </row>
        <row r="679">
          <cell r="O679">
            <v>0</v>
          </cell>
          <cell r="P679">
            <v>60</v>
          </cell>
          <cell r="Q679">
            <v>0</v>
          </cell>
          <cell r="R679">
            <v>0</v>
          </cell>
          <cell r="S679">
            <v>0</v>
          </cell>
        </row>
        <row r="680">
          <cell r="O680">
            <v>0</v>
          </cell>
          <cell r="P680">
            <v>10</v>
          </cell>
          <cell r="Q680">
            <v>20</v>
          </cell>
          <cell r="R680">
            <v>0</v>
          </cell>
          <cell r="S680">
            <v>0</v>
          </cell>
        </row>
        <row r="681">
          <cell r="O681">
            <v>0</v>
          </cell>
          <cell r="P681">
            <v>20</v>
          </cell>
          <cell r="Q681">
            <v>30</v>
          </cell>
          <cell r="R681">
            <v>0</v>
          </cell>
          <cell r="S681">
            <v>0</v>
          </cell>
        </row>
        <row r="682">
          <cell r="O682">
            <v>0</v>
          </cell>
          <cell r="P682">
            <v>40</v>
          </cell>
          <cell r="Q682">
            <v>40</v>
          </cell>
          <cell r="R682">
            <v>0</v>
          </cell>
          <cell r="S682">
            <v>0</v>
          </cell>
        </row>
        <row r="683">
          <cell r="O683">
            <v>0</v>
          </cell>
          <cell r="P683">
            <v>20</v>
          </cell>
          <cell r="Q683">
            <v>40</v>
          </cell>
          <cell r="R683">
            <v>20</v>
          </cell>
          <cell r="S683">
            <v>0</v>
          </cell>
        </row>
        <row r="684">
          <cell r="O684">
            <v>20</v>
          </cell>
          <cell r="P684">
            <v>10</v>
          </cell>
          <cell r="Q684">
            <v>40</v>
          </cell>
          <cell r="R684">
            <v>20</v>
          </cell>
          <cell r="S684">
            <v>10</v>
          </cell>
        </row>
        <row r="685">
          <cell r="O685">
            <v>40</v>
          </cell>
          <cell r="P685">
            <v>20</v>
          </cell>
          <cell r="Q685">
            <v>20</v>
          </cell>
          <cell r="R685">
            <v>10</v>
          </cell>
          <cell r="S685">
            <v>10</v>
          </cell>
        </row>
        <row r="686">
          <cell r="O686">
            <v>20</v>
          </cell>
          <cell r="P686">
            <v>40</v>
          </cell>
          <cell r="Q686">
            <v>10</v>
          </cell>
          <cell r="R686">
            <v>20</v>
          </cell>
          <cell r="S686">
            <v>10</v>
          </cell>
        </row>
        <row r="687">
          <cell r="O687">
            <v>10</v>
          </cell>
          <cell r="P687">
            <v>20</v>
          </cell>
          <cell r="Q687">
            <v>20</v>
          </cell>
          <cell r="R687">
            <v>40</v>
          </cell>
          <cell r="S687">
            <v>10</v>
          </cell>
        </row>
        <row r="688">
          <cell r="O688">
            <v>10</v>
          </cell>
          <cell r="P688">
            <v>0</v>
          </cell>
          <cell r="Q688">
            <v>50</v>
          </cell>
          <cell r="R688">
            <v>10</v>
          </cell>
          <cell r="S688">
            <v>0</v>
          </cell>
        </row>
        <row r="689">
          <cell r="O689">
            <v>10</v>
          </cell>
          <cell r="P689">
            <v>0</v>
          </cell>
          <cell r="Q689">
            <v>0</v>
          </cell>
          <cell r="R689">
            <v>0</v>
          </cell>
          <cell r="S689">
            <v>20</v>
          </cell>
        </row>
        <row r="690">
          <cell r="O690">
            <v>40</v>
          </cell>
          <cell r="P690">
            <v>0</v>
          </cell>
          <cell r="Q690">
            <v>0</v>
          </cell>
          <cell r="R690">
            <v>0</v>
          </cell>
          <cell r="S690">
            <v>40</v>
          </cell>
        </row>
        <row r="691">
          <cell r="O691">
            <v>0</v>
          </cell>
          <cell r="P691">
            <v>0</v>
          </cell>
          <cell r="Q691">
            <v>20</v>
          </cell>
          <cell r="R691">
            <v>30</v>
          </cell>
          <cell r="S691">
            <v>0</v>
          </cell>
        </row>
        <row r="692">
          <cell r="O692">
            <v>0</v>
          </cell>
          <cell r="P692">
            <v>0</v>
          </cell>
          <cell r="Q692">
            <v>10</v>
          </cell>
          <cell r="R692">
            <v>40</v>
          </cell>
          <cell r="S692">
            <v>0</v>
          </cell>
        </row>
        <row r="693">
          <cell r="O693">
            <v>0</v>
          </cell>
          <cell r="P693">
            <v>20</v>
          </cell>
          <cell r="Q693">
            <v>20</v>
          </cell>
          <cell r="R693">
            <v>0</v>
          </cell>
          <cell r="S693">
            <v>0</v>
          </cell>
        </row>
        <row r="694">
          <cell r="O694">
            <v>20</v>
          </cell>
          <cell r="P694">
            <v>20</v>
          </cell>
          <cell r="Q694">
            <v>0</v>
          </cell>
          <cell r="R694">
            <v>0</v>
          </cell>
          <cell r="S694">
            <v>0</v>
          </cell>
        </row>
        <row r="695">
          <cell r="O695">
            <v>0</v>
          </cell>
          <cell r="P695">
            <v>50</v>
          </cell>
          <cell r="Q695">
            <v>30</v>
          </cell>
          <cell r="R695">
            <v>0</v>
          </cell>
          <cell r="S695">
            <v>0</v>
          </cell>
        </row>
        <row r="696">
          <cell r="O696">
            <v>30</v>
          </cell>
          <cell r="P696">
            <v>50</v>
          </cell>
          <cell r="Q696">
            <v>0</v>
          </cell>
          <cell r="R696">
            <v>0</v>
          </cell>
          <cell r="S696">
            <v>0</v>
          </cell>
        </row>
        <row r="697">
          <cell r="O697">
            <v>0</v>
          </cell>
          <cell r="P697">
            <v>60</v>
          </cell>
          <cell r="Q697">
            <v>40</v>
          </cell>
          <cell r="R697">
            <v>0</v>
          </cell>
          <cell r="S697">
            <v>0</v>
          </cell>
        </row>
        <row r="698">
          <cell r="O698">
            <v>0</v>
          </cell>
          <cell r="P698">
            <v>0</v>
          </cell>
          <cell r="Q698">
            <v>40</v>
          </cell>
          <cell r="R698">
            <v>0</v>
          </cell>
          <cell r="S698">
            <v>0</v>
          </cell>
        </row>
        <row r="699">
          <cell r="O699">
            <v>20</v>
          </cell>
          <cell r="P699">
            <v>0</v>
          </cell>
          <cell r="Q699">
            <v>20</v>
          </cell>
          <cell r="R699">
            <v>10</v>
          </cell>
          <cell r="S699">
            <v>0</v>
          </cell>
        </row>
        <row r="700">
          <cell r="O700">
            <v>10</v>
          </cell>
          <cell r="P700">
            <v>0</v>
          </cell>
          <cell r="Q700">
            <v>0</v>
          </cell>
          <cell r="R700">
            <v>0</v>
          </cell>
          <cell r="S700">
            <v>40</v>
          </cell>
        </row>
        <row r="701">
          <cell r="O701">
            <v>30</v>
          </cell>
          <cell r="P701">
            <v>0</v>
          </cell>
          <cell r="Q701">
            <v>0</v>
          </cell>
          <cell r="R701">
            <v>10</v>
          </cell>
          <cell r="S701">
            <v>60</v>
          </cell>
        </row>
        <row r="702">
          <cell r="O702">
            <v>10</v>
          </cell>
          <cell r="P702">
            <v>0</v>
          </cell>
          <cell r="Q702">
            <v>0</v>
          </cell>
          <cell r="R702">
            <v>20</v>
          </cell>
          <cell r="S702">
            <v>0</v>
          </cell>
        </row>
        <row r="703">
          <cell r="O703">
            <v>20</v>
          </cell>
          <cell r="P703">
            <v>0</v>
          </cell>
          <cell r="Q703">
            <v>0</v>
          </cell>
          <cell r="R703">
            <v>40</v>
          </cell>
          <cell r="S703">
            <v>0</v>
          </cell>
        </row>
        <row r="704">
          <cell r="O704">
            <v>30</v>
          </cell>
          <cell r="P704">
            <v>0</v>
          </cell>
          <cell r="Q704">
            <v>0</v>
          </cell>
          <cell r="R704">
            <v>60</v>
          </cell>
          <cell r="S704">
            <v>0</v>
          </cell>
        </row>
        <row r="705">
          <cell r="O705">
            <v>10</v>
          </cell>
          <cell r="P705">
            <v>10</v>
          </cell>
          <cell r="Q705">
            <v>10</v>
          </cell>
          <cell r="R705">
            <v>10</v>
          </cell>
          <cell r="S705">
            <v>0</v>
          </cell>
        </row>
        <row r="706">
          <cell r="O706">
            <v>20</v>
          </cell>
          <cell r="P706">
            <v>0</v>
          </cell>
          <cell r="Q706">
            <v>0</v>
          </cell>
          <cell r="R706">
            <v>20</v>
          </cell>
          <cell r="S706">
            <v>10</v>
          </cell>
        </row>
        <row r="707">
          <cell r="O707">
            <v>30</v>
          </cell>
          <cell r="P707">
            <v>0</v>
          </cell>
          <cell r="Q707">
            <v>0</v>
          </cell>
          <cell r="R707">
            <v>20</v>
          </cell>
          <cell r="S707">
            <v>10</v>
          </cell>
        </row>
        <row r="708">
          <cell r="O708">
            <v>0</v>
          </cell>
          <cell r="P708">
            <v>0</v>
          </cell>
          <cell r="Q708">
            <v>20</v>
          </cell>
          <cell r="R708">
            <v>40</v>
          </cell>
          <cell r="S708">
            <v>0</v>
          </cell>
        </row>
        <row r="709">
          <cell r="O709">
            <v>0</v>
          </cell>
          <cell r="P709">
            <v>10</v>
          </cell>
          <cell r="Q709">
            <v>0</v>
          </cell>
          <cell r="R709">
            <v>90</v>
          </cell>
          <cell r="S709">
            <v>0</v>
          </cell>
        </row>
        <row r="710">
          <cell r="O710">
            <v>20</v>
          </cell>
          <cell r="P710">
            <v>30</v>
          </cell>
          <cell r="Q710">
            <v>20</v>
          </cell>
          <cell r="R710">
            <v>0</v>
          </cell>
          <cell r="S710">
            <v>0</v>
          </cell>
        </row>
        <row r="711">
          <cell r="O711">
            <v>30</v>
          </cell>
          <cell r="P711">
            <v>50</v>
          </cell>
          <cell r="Q711">
            <v>20</v>
          </cell>
          <cell r="R711">
            <v>0</v>
          </cell>
          <cell r="S711">
            <v>0</v>
          </cell>
        </row>
        <row r="712">
          <cell r="O712">
            <v>40</v>
          </cell>
          <cell r="P712">
            <v>80</v>
          </cell>
          <cell r="Q712">
            <v>0</v>
          </cell>
          <cell r="R712">
            <v>0</v>
          </cell>
          <cell r="S712">
            <v>0</v>
          </cell>
        </row>
        <row r="713">
          <cell r="O713">
            <v>40</v>
          </cell>
          <cell r="P713">
            <v>0</v>
          </cell>
          <cell r="Q713">
            <v>30</v>
          </cell>
          <cell r="R713">
            <v>0</v>
          </cell>
          <cell r="S713">
            <v>0</v>
          </cell>
        </row>
        <row r="714">
          <cell r="O714">
            <v>60</v>
          </cell>
          <cell r="P714">
            <v>0</v>
          </cell>
          <cell r="Q714">
            <v>0</v>
          </cell>
          <cell r="R714">
            <v>0</v>
          </cell>
          <cell r="S714">
            <v>20</v>
          </cell>
        </row>
        <row r="715">
          <cell r="O715">
            <v>90</v>
          </cell>
          <cell r="P715">
            <v>0</v>
          </cell>
          <cell r="Q715">
            <v>0</v>
          </cell>
          <cell r="R715">
            <v>0</v>
          </cell>
          <cell r="S715">
            <v>30</v>
          </cell>
        </row>
        <row r="716">
          <cell r="O716">
            <v>0</v>
          </cell>
          <cell r="P716">
            <v>0</v>
          </cell>
          <cell r="Q716">
            <v>40</v>
          </cell>
          <cell r="R716">
            <v>0</v>
          </cell>
          <cell r="S716">
            <v>0</v>
          </cell>
        </row>
        <row r="717">
          <cell r="O717">
            <v>10</v>
          </cell>
          <cell r="P717">
            <v>0</v>
          </cell>
          <cell r="Q717">
            <v>0</v>
          </cell>
          <cell r="R717">
            <v>0</v>
          </cell>
          <cell r="S717">
            <v>40</v>
          </cell>
        </row>
        <row r="718">
          <cell r="O718">
            <v>0</v>
          </cell>
          <cell r="P718">
            <v>60</v>
          </cell>
          <cell r="Q718">
            <v>20</v>
          </cell>
          <cell r="R718">
            <v>0</v>
          </cell>
          <cell r="S718">
            <v>0</v>
          </cell>
        </row>
        <row r="719">
          <cell r="O719">
            <v>0</v>
          </cell>
          <cell r="P719">
            <v>0</v>
          </cell>
          <cell r="Q719">
            <v>10</v>
          </cell>
          <cell r="R719">
            <v>0</v>
          </cell>
          <cell r="S719">
            <v>30</v>
          </cell>
        </row>
        <row r="720">
          <cell r="O720">
            <v>50</v>
          </cell>
          <cell r="P720">
            <v>0</v>
          </cell>
          <cell r="Q720">
            <v>0</v>
          </cell>
          <cell r="R720">
            <v>0</v>
          </cell>
          <cell r="S720">
            <v>0</v>
          </cell>
        </row>
        <row r="721">
          <cell r="O721">
            <v>0</v>
          </cell>
          <cell r="P721">
            <v>0</v>
          </cell>
          <cell r="Q721">
            <v>10</v>
          </cell>
          <cell r="R721">
            <v>30</v>
          </cell>
          <cell r="S721">
            <v>0</v>
          </cell>
        </row>
        <row r="722">
          <cell r="O722">
            <v>0</v>
          </cell>
          <cell r="P722">
            <v>0</v>
          </cell>
          <cell r="Q722">
            <v>0</v>
          </cell>
          <cell r="R722">
            <v>30</v>
          </cell>
          <cell r="S722">
            <v>20</v>
          </cell>
        </row>
        <row r="723">
          <cell r="O723">
            <v>30</v>
          </cell>
          <cell r="P723">
            <v>0</v>
          </cell>
          <cell r="Q723">
            <v>10</v>
          </cell>
          <cell r="R723">
            <v>0</v>
          </cell>
          <cell r="S723">
            <v>0</v>
          </cell>
        </row>
        <row r="724">
          <cell r="O724">
            <v>40</v>
          </cell>
          <cell r="P724">
            <v>20</v>
          </cell>
          <cell r="Q724">
            <v>0</v>
          </cell>
          <cell r="R724">
            <v>20</v>
          </cell>
          <cell r="S724">
            <v>0</v>
          </cell>
        </row>
        <row r="725">
          <cell r="O725">
            <v>30</v>
          </cell>
          <cell r="P725">
            <v>0</v>
          </cell>
          <cell r="Q725">
            <v>0</v>
          </cell>
          <cell r="R725">
            <v>0</v>
          </cell>
          <cell r="S725">
            <v>50</v>
          </cell>
        </row>
        <row r="726">
          <cell r="O726">
            <v>10</v>
          </cell>
          <cell r="P726">
            <v>0</v>
          </cell>
          <cell r="Q726">
            <v>10</v>
          </cell>
          <cell r="R726">
            <v>0</v>
          </cell>
          <cell r="S726">
            <v>20</v>
          </cell>
        </row>
        <row r="727">
          <cell r="O727">
            <v>40</v>
          </cell>
          <cell r="P727">
            <v>0</v>
          </cell>
          <cell r="Q727">
            <v>0</v>
          </cell>
          <cell r="R727">
            <v>0</v>
          </cell>
          <cell r="S727">
            <v>40</v>
          </cell>
        </row>
        <row r="728">
          <cell r="O728">
            <v>40</v>
          </cell>
          <cell r="P728">
            <v>0</v>
          </cell>
          <cell r="Q728">
            <v>0</v>
          </cell>
          <cell r="R728">
            <v>10</v>
          </cell>
          <cell r="S728">
            <v>20</v>
          </cell>
        </row>
        <row r="729">
          <cell r="O729">
            <v>60</v>
          </cell>
          <cell r="P729">
            <v>0</v>
          </cell>
          <cell r="Q729">
            <v>0</v>
          </cell>
          <cell r="R729">
            <v>10</v>
          </cell>
          <cell r="S729">
            <v>30</v>
          </cell>
        </row>
        <row r="730">
          <cell r="O730">
            <v>40</v>
          </cell>
          <cell r="P730">
            <v>30</v>
          </cell>
          <cell r="Q730">
            <v>0</v>
          </cell>
          <cell r="R730">
            <v>0</v>
          </cell>
          <cell r="S730">
            <v>30</v>
          </cell>
        </row>
        <row r="731">
          <cell r="O731">
            <v>20</v>
          </cell>
          <cell r="P731">
            <v>0</v>
          </cell>
          <cell r="Q731">
            <v>10</v>
          </cell>
          <cell r="R731">
            <v>0</v>
          </cell>
          <cell r="S731">
            <v>10</v>
          </cell>
        </row>
        <row r="732">
          <cell r="O732">
            <v>70</v>
          </cell>
          <cell r="P732">
            <v>10</v>
          </cell>
          <cell r="Q732">
            <v>0</v>
          </cell>
          <cell r="R732">
            <v>0</v>
          </cell>
          <cell r="S732">
            <v>40</v>
          </cell>
        </row>
        <row r="733">
          <cell r="O733">
            <v>0</v>
          </cell>
          <cell r="P733">
            <v>10</v>
          </cell>
          <cell r="Q733">
            <v>20</v>
          </cell>
          <cell r="R733">
            <v>0</v>
          </cell>
          <cell r="S733">
            <v>30</v>
          </cell>
        </row>
        <row r="734">
          <cell r="O734">
            <v>0</v>
          </cell>
          <cell r="P734">
            <v>20</v>
          </cell>
          <cell r="Q734">
            <v>10</v>
          </cell>
          <cell r="R734">
            <v>0</v>
          </cell>
          <cell r="S734">
            <v>40</v>
          </cell>
        </row>
        <row r="735">
          <cell r="O735">
            <v>30</v>
          </cell>
          <cell r="P735">
            <v>10</v>
          </cell>
          <cell r="Q735">
            <v>0</v>
          </cell>
          <cell r="R735">
            <v>20</v>
          </cell>
          <cell r="S735">
            <v>10</v>
          </cell>
        </row>
        <row r="736">
          <cell r="O736">
            <v>10</v>
          </cell>
          <cell r="P736">
            <v>0</v>
          </cell>
          <cell r="Q736">
            <v>0</v>
          </cell>
          <cell r="R736">
            <v>30</v>
          </cell>
          <cell r="S736">
            <v>30</v>
          </cell>
        </row>
        <row r="737">
          <cell r="O737">
            <v>10</v>
          </cell>
          <cell r="P737">
            <v>0</v>
          </cell>
          <cell r="Q737">
            <v>0</v>
          </cell>
          <cell r="R737">
            <v>0</v>
          </cell>
          <cell r="S737">
            <v>20</v>
          </cell>
        </row>
        <row r="738">
          <cell r="O738">
            <v>20</v>
          </cell>
          <cell r="P738">
            <v>0</v>
          </cell>
          <cell r="Q738">
            <v>0</v>
          </cell>
          <cell r="R738">
            <v>0</v>
          </cell>
          <cell r="S738">
            <v>40</v>
          </cell>
        </row>
        <row r="739">
          <cell r="O739">
            <v>30</v>
          </cell>
          <cell r="P739">
            <v>0</v>
          </cell>
          <cell r="Q739">
            <v>0</v>
          </cell>
          <cell r="R739">
            <v>0</v>
          </cell>
          <cell r="S739">
            <v>80</v>
          </cell>
        </row>
        <row r="740">
          <cell r="O740">
            <v>20</v>
          </cell>
          <cell r="P740">
            <v>10</v>
          </cell>
          <cell r="Q740">
            <v>0</v>
          </cell>
          <cell r="R740">
            <v>0</v>
          </cell>
          <cell r="S740">
            <v>0</v>
          </cell>
        </row>
        <row r="741">
          <cell r="O741">
            <v>50</v>
          </cell>
          <cell r="P741">
            <v>70</v>
          </cell>
          <cell r="Q741">
            <v>0</v>
          </cell>
          <cell r="R741">
            <v>0</v>
          </cell>
          <cell r="S741">
            <v>0</v>
          </cell>
        </row>
        <row r="742">
          <cell r="O742">
            <v>50</v>
          </cell>
          <cell r="P742">
            <v>20</v>
          </cell>
          <cell r="Q742">
            <v>0</v>
          </cell>
          <cell r="R742">
            <v>20</v>
          </cell>
          <cell r="S742">
            <v>30</v>
          </cell>
        </row>
        <row r="743">
          <cell r="O743">
            <v>50</v>
          </cell>
          <cell r="P743">
            <v>10</v>
          </cell>
          <cell r="Q743">
            <v>0</v>
          </cell>
          <cell r="R743">
            <v>20</v>
          </cell>
          <cell r="S743">
            <v>40</v>
          </cell>
        </row>
        <row r="744">
          <cell r="O744">
            <v>50</v>
          </cell>
          <cell r="P744">
            <v>40</v>
          </cell>
          <cell r="Q744">
            <v>0</v>
          </cell>
          <cell r="R744">
            <v>20</v>
          </cell>
          <cell r="S744">
            <v>10</v>
          </cell>
        </row>
        <row r="745">
          <cell r="O745">
            <v>40</v>
          </cell>
          <cell r="P745">
            <v>30</v>
          </cell>
          <cell r="Q745">
            <v>0</v>
          </cell>
          <cell r="R745">
            <v>30</v>
          </cell>
          <cell r="S745">
            <v>20</v>
          </cell>
        </row>
        <row r="746">
          <cell r="O746">
            <v>30</v>
          </cell>
          <cell r="P746">
            <v>40</v>
          </cell>
          <cell r="Q746">
            <v>0</v>
          </cell>
          <cell r="R746">
            <v>20</v>
          </cell>
          <cell r="S746">
            <v>30</v>
          </cell>
        </row>
        <row r="747">
          <cell r="O747">
            <v>40</v>
          </cell>
          <cell r="P747">
            <v>30</v>
          </cell>
          <cell r="Q747">
            <v>0</v>
          </cell>
          <cell r="R747">
            <v>30</v>
          </cell>
          <cell r="S747">
            <v>20</v>
          </cell>
        </row>
        <row r="748">
          <cell r="O748">
            <v>50</v>
          </cell>
          <cell r="P748">
            <v>20</v>
          </cell>
          <cell r="Q748">
            <v>0</v>
          </cell>
          <cell r="R748">
            <v>20</v>
          </cell>
          <cell r="S748">
            <v>30</v>
          </cell>
        </row>
        <row r="749">
          <cell r="O749">
            <v>30</v>
          </cell>
          <cell r="P749">
            <v>70</v>
          </cell>
          <cell r="Q749">
            <v>0</v>
          </cell>
          <cell r="R749">
            <v>40</v>
          </cell>
          <cell r="S749">
            <v>20</v>
          </cell>
        </row>
        <row r="750">
          <cell r="O750">
            <v>70</v>
          </cell>
          <cell r="P750">
            <v>30</v>
          </cell>
          <cell r="Q750">
            <v>0</v>
          </cell>
          <cell r="R750">
            <v>20</v>
          </cell>
          <cell r="S750">
            <v>40</v>
          </cell>
        </row>
        <row r="751">
          <cell r="O751">
            <v>40</v>
          </cell>
          <cell r="P751">
            <v>10</v>
          </cell>
          <cell r="Q751">
            <v>0</v>
          </cell>
          <cell r="R751">
            <v>30</v>
          </cell>
          <cell r="S751">
            <v>40</v>
          </cell>
        </row>
        <row r="752">
          <cell r="O752">
            <v>50</v>
          </cell>
          <cell r="P752">
            <v>0</v>
          </cell>
          <cell r="Q752">
            <v>0</v>
          </cell>
          <cell r="R752">
            <v>20</v>
          </cell>
          <cell r="S752">
            <v>50</v>
          </cell>
        </row>
        <row r="753">
          <cell r="O753">
            <v>30</v>
          </cell>
          <cell r="P753">
            <v>50</v>
          </cell>
          <cell r="Q753">
            <v>0</v>
          </cell>
          <cell r="R753">
            <v>30</v>
          </cell>
          <cell r="S753">
            <v>50</v>
          </cell>
        </row>
        <row r="754">
          <cell r="O754">
            <v>50</v>
          </cell>
          <cell r="P754">
            <v>50</v>
          </cell>
          <cell r="Q754">
            <v>0</v>
          </cell>
          <cell r="R754">
            <v>30</v>
          </cell>
          <cell r="S754">
            <v>30</v>
          </cell>
        </row>
        <row r="755">
          <cell r="O755">
            <v>30</v>
          </cell>
          <cell r="P755">
            <v>30</v>
          </cell>
          <cell r="Q755">
            <v>0</v>
          </cell>
          <cell r="R755">
            <v>50</v>
          </cell>
          <cell r="S755">
            <v>50</v>
          </cell>
        </row>
        <row r="756">
          <cell r="O756">
            <v>30</v>
          </cell>
          <cell r="P756">
            <v>30</v>
          </cell>
          <cell r="Q756">
            <v>30</v>
          </cell>
          <cell r="R756">
            <v>20</v>
          </cell>
          <cell r="S756">
            <v>10</v>
          </cell>
        </row>
        <row r="757">
          <cell r="O757">
            <v>20</v>
          </cell>
          <cell r="P757">
            <v>90</v>
          </cell>
          <cell r="Q757">
            <v>70</v>
          </cell>
          <cell r="R757">
            <v>20</v>
          </cell>
          <cell r="S757">
            <v>0</v>
          </cell>
        </row>
        <row r="758">
          <cell r="O758">
            <v>70</v>
          </cell>
          <cell r="P758">
            <v>90</v>
          </cell>
          <cell r="Q758">
            <v>20</v>
          </cell>
          <cell r="R758">
            <v>20</v>
          </cell>
          <cell r="S758">
            <v>0</v>
          </cell>
        </row>
        <row r="759">
          <cell r="O759">
            <v>40</v>
          </cell>
          <cell r="P759">
            <v>0</v>
          </cell>
          <cell r="Q759">
            <v>0</v>
          </cell>
          <cell r="R759">
            <v>40</v>
          </cell>
          <cell r="S759">
            <v>40</v>
          </cell>
        </row>
        <row r="760">
          <cell r="O760">
            <v>0</v>
          </cell>
          <cell r="P760">
            <v>0</v>
          </cell>
          <cell r="Q760">
            <v>30</v>
          </cell>
          <cell r="R760">
            <v>0</v>
          </cell>
          <cell r="S760">
            <v>20</v>
          </cell>
        </row>
        <row r="761">
          <cell r="O761">
            <v>0</v>
          </cell>
          <cell r="P761">
            <v>0</v>
          </cell>
          <cell r="Q761">
            <v>20</v>
          </cell>
          <cell r="R761">
            <v>0</v>
          </cell>
          <cell r="S761">
            <v>40</v>
          </cell>
        </row>
        <row r="762">
          <cell r="O762">
            <v>10</v>
          </cell>
          <cell r="P762">
            <v>0</v>
          </cell>
          <cell r="Q762">
            <v>0</v>
          </cell>
          <cell r="R762">
            <v>0</v>
          </cell>
          <cell r="S762">
            <v>70</v>
          </cell>
        </row>
        <row r="763">
          <cell r="O763">
            <v>10</v>
          </cell>
          <cell r="P763">
            <v>10</v>
          </cell>
          <cell r="Q763">
            <v>20</v>
          </cell>
          <cell r="R763">
            <v>10</v>
          </cell>
          <cell r="S763">
            <v>0</v>
          </cell>
        </row>
        <row r="764">
          <cell r="O764">
            <v>10</v>
          </cell>
          <cell r="P764">
            <v>20</v>
          </cell>
          <cell r="Q764">
            <v>40</v>
          </cell>
          <cell r="R764">
            <v>20</v>
          </cell>
          <cell r="S764">
            <v>0</v>
          </cell>
        </row>
        <row r="765">
          <cell r="O765">
            <v>20</v>
          </cell>
          <cell r="P765">
            <v>60</v>
          </cell>
          <cell r="Q765">
            <v>0</v>
          </cell>
          <cell r="R765">
            <v>20</v>
          </cell>
          <cell r="S765">
            <v>0</v>
          </cell>
        </row>
        <row r="766">
          <cell r="O766">
            <v>0</v>
          </cell>
          <cell r="P766">
            <v>10</v>
          </cell>
          <cell r="Q766">
            <v>20</v>
          </cell>
          <cell r="R766">
            <v>20</v>
          </cell>
          <cell r="S766">
            <v>0</v>
          </cell>
        </row>
        <row r="767">
          <cell r="O767">
            <v>20</v>
          </cell>
          <cell r="P767">
            <v>10</v>
          </cell>
          <cell r="Q767">
            <v>0</v>
          </cell>
          <cell r="R767">
            <v>40</v>
          </cell>
          <cell r="S767">
            <v>0</v>
          </cell>
        </row>
        <row r="768">
          <cell r="O768">
            <v>40</v>
          </cell>
          <cell r="P768">
            <v>10</v>
          </cell>
          <cell r="Q768">
            <v>0</v>
          </cell>
          <cell r="R768">
            <v>60</v>
          </cell>
          <cell r="S768">
            <v>0</v>
          </cell>
        </row>
        <row r="769">
          <cell r="O769">
            <v>0</v>
          </cell>
          <cell r="P769">
            <v>0</v>
          </cell>
          <cell r="Q769">
            <v>20</v>
          </cell>
          <cell r="R769">
            <v>0</v>
          </cell>
          <cell r="S769">
            <v>10</v>
          </cell>
        </row>
        <row r="770">
          <cell r="O770">
            <v>0</v>
          </cell>
          <cell r="P770">
            <v>0</v>
          </cell>
          <cell r="Q770">
            <v>0</v>
          </cell>
          <cell r="R770">
            <v>0</v>
          </cell>
          <cell r="S770">
            <v>50</v>
          </cell>
        </row>
        <row r="771">
          <cell r="O771">
            <v>10</v>
          </cell>
          <cell r="P771">
            <v>0</v>
          </cell>
          <cell r="Q771">
            <v>20</v>
          </cell>
          <cell r="R771">
            <v>0</v>
          </cell>
          <cell r="S771">
            <v>0</v>
          </cell>
        </row>
        <row r="772">
          <cell r="O772">
            <v>40</v>
          </cell>
          <cell r="P772">
            <v>0</v>
          </cell>
          <cell r="Q772">
            <v>0</v>
          </cell>
          <cell r="R772">
            <v>0</v>
          </cell>
          <cell r="S772">
            <v>0</v>
          </cell>
        </row>
        <row r="773">
          <cell r="O773">
            <v>40</v>
          </cell>
          <cell r="P773">
            <v>0</v>
          </cell>
          <cell r="Q773">
            <v>0</v>
          </cell>
          <cell r="R773">
            <v>0</v>
          </cell>
          <cell r="S773">
            <v>30</v>
          </cell>
        </row>
        <row r="774">
          <cell r="O774">
            <v>0</v>
          </cell>
          <cell r="P774">
            <v>0</v>
          </cell>
          <cell r="Q774">
            <v>0</v>
          </cell>
          <cell r="R774">
            <v>10</v>
          </cell>
          <cell r="S774">
            <v>0</v>
          </cell>
        </row>
        <row r="775">
          <cell r="O775">
            <v>0</v>
          </cell>
          <cell r="P775">
            <v>0</v>
          </cell>
          <cell r="Q775">
            <v>10</v>
          </cell>
          <cell r="R775">
            <v>10</v>
          </cell>
          <cell r="S775">
            <v>10</v>
          </cell>
        </row>
        <row r="776">
          <cell r="O776" t="str">
            <v>See Cosmetics Sheet</v>
          </cell>
        </row>
        <row r="777">
          <cell r="O777">
            <v>20</v>
          </cell>
          <cell r="P777">
            <v>0</v>
          </cell>
          <cell r="Q777">
            <v>30</v>
          </cell>
          <cell r="R777">
            <v>0</v>
          </cell>
          <cell r="S777">
            <v>0</v>
          </cell>
        </row>
        <row r="778">
          <cell r="O778">
            <v>50</v>
          </cell>
          <cell r="P778">
            <v>40</v>
          </cell>
          <cell r="Q778">
            <v>0</v>
          </cell>
          <cell r="R778">
            <v>0</v>
          </cell>
          <cell r="S778">
            <v>20</v>
          </cell>
        </row>
        <row r="779">
          <cell r="O779">
            <v>50</v>
          </cell>
          <cell r="P779">
            <v>20</v>
          </cell>
          <cell r="Q779">
            <v>0</v>
          </cell>
          <cell r="R779">
            <v>0</v>
          </cell>
          <cell r="S779">
            <v>40</v>
          </cell>
        </row>
        <row r="780">
          <cell r="O780">
            <v>0</v>
          </cell>
          <cell r="P780">
            <v>30</v>
          </cell>
          <cell r="Q780">
            <v>30</v>
          </cell>
          <cell r="R780">
            <v>0</v>
          </cell>
          <cell r="S780">
            <v>0</v>
          </cell>
        </row>
        <row r="781">
          <cell r="O781">
            <v>0</v>
          </cell>
          <cell r="P781">
            <v>40</v>
          </cell>
          <cell r="Q781">
            <v>50</v>
          </cell>
          <cell r="R781">
            <v>0</v>
          </cell>
          <cell r="S781">
            <v>0</v>
          </cell>
        </row>
        <row r="782">
          <cell r="O782">
            <v>0</v>
          </cell>
          <cell r="P782">
            <v>70</v>
          </cell>
          <cell r="Q782">
            <v>50</v>
          </cell>
          <cell r="R782">
            <v>0</v>
          </cell>
          <cell r="S782">
            <v>0</v>
          </cell>
        </row>
        <row r="783">
          <cell r="O783">
            <v>10</v>
          </cell>
          <cell r="P783">
            <v>10</v>
          </cell>
          <cell r="Q783">
            <v>40</v>
          </cell>
          <cell r="R783">
            <v>0</v>
          </cell>
          <cell r="S783">
            <v>10</v>
          </cell>
        </row>
        <row r="784">
          <cell r="O784">
            <v>10</v>
          </cell>
          <cell r="P784">
            <v>20</v>
          </cell>
          <cell r="Q784">
            <v>0</v>
          </cell>
          <cell r="R784">
            <v>0</v>
          </cell>
          <cell r="S784">
            <v>40</v>
          </cell>
        </row>
        <row r="785">
          <cell r="O785">
            <v>20</v>
          </cell>
          <cell r="P785">
            <v>0</v>
          </cell>
          <cell r="Q785">
            <v>0</v>
          </cell>
          <cell r="R785">
            <v>0</v>
          </cell>
          <cell r="S785">
            <v>20</v>
          </cell>
        </row>
        <row r="786">
          <cell r="O786">
            <v>30</v>
          </cell>
          <cell r="P786">
            <v>0</v>
          </cell>
          <cell r="Q786">
            <v>0</v>
          </cell>
          <cell r="R786">
            <v>0</v>
          </cell>
          <cell r="S786">
            <v>50</v>
          </cell>
        </row>
        <row r="787">
          <cell r="O787" t="str">
            <v>See Cosmetics Sheet</v>
          </cell>
        </row>
        <row r="788">
          <cell r="O788">
            <v>0</v>
          </cell>
          <cell r="P788">
            <v>0</v>
          </cell>
          <cell r="Q788">
            <v>20</v>
          </cell>
          <cell r="R788">
            <v>20</v>
          </cell>
          <cell r="S788">
            <v>0</v>
          </cell>
        </row>
        <row r="789">
          <cell r="O789">
            <v>0</v>
          </cell>
          <cell r="P789">
            <v>30</v>
          </cell>
          <cell r="Q789">
            <v>20</v>
          </cell>
          <cell r="R789">
            <v>20</v>
          </cell>
          <cell r="S789">
            <v>0</v>
          </cell>
        </row>
        <row r="790">
          <cell r="O790">
            <v>0</v>
          </cell>
          <cell r="P790">
            <v>0</v>
          </cell>
          <cell r="Q790">
            <v>20</v>
          </cell>
          <cell r="R790">
            <v>20</v>
          </cell>
          <cell r="S790">
            <v>30</v>
          </cell>
        </row>
        <row r="791">
          <cell r="O791">
            <v>40</v>
          </cell>
          <cell r="P791">
            <v>0</v>
          </cell>
          <cell r="Q791">
            <v>0</v>
          </cell>
          <cell r="R791">
            <v>0</v>
          </cell>
          <cell r="S791">
            <v>10</v>
          </cell>
        </row>
        <row r="792">
          <cell r="O792">
            <v>50</v>
          </cell>
          <cell r="P792">
            <v>0</v>
          </cell>
          <cell r="Q792">
            <v>0</v>
          </cell>
          <cell r="R792">
            <v>0</v>
          </cell>
          <cell r="S792">
            <v>30</v>
          </cell>
        </row>
        <row r="793">
          <cell r="O793">
            <v>80</v>
          </cell>
          <cell r="P793">
            <v>0</v>
          </cell>
          <cell r="Q793">
            <v>0</v>
          </cell>
          <cell r="R793">
            <v>0</v>
          </cell>
          <cell r="S793">
            <v>30</v>
          </cell>
        </row>
        <row r="794">
          <cell r="O794">
            <v>0</v>
          </cell>
          <cell r="P794">
            <v>20</v>
          </cell>
          <cell r="Q794">
            <v>10</v>
          </cell>
          <cell r="R794">
            <v>0</v>
          </cell>
          <cell r="S794">
            <v>0</v>
          </cell>
        </row>
        <row r="795">
          <cell r="O795">
            <v>0</v>
          </cell>
          <cell r="P795">
            <v>40</v>
          </cell>
          <cell r="Q795">
            <v>30</v>
          </cell>
          <cell r="R795">
            <v>0</v>
          </cell>
          <cell r="S795">
            <v>0</v>
          </cell>
        </row>
        <row r="796">
          <cell r="O796">
            <v>0</v>
          </cell>
          <cell r="P796">
            <v>0</v>
          </cell>
          <cell r="Q796">
            <v>40</v>
          </cell>
          <cell r="R796">
            <v>0</v>
          </cell>
          <cell r="S796">
            <v>0</v>
          </cell>
        </row>
        <row r="797">
          <cell r="O797">
            <v>0</v>
          </cell>
          <cell r="P797">
            <v>0</v>
          </cell>
          <cell r="Q797">
            <v>60</v>
          </cell>
          <cell r="R797">
            <v>0</v>
          </cell>
          <cell r="S797">
            <v>0</v>
          </cell>
        </row>
        <row r="798">
          <cell r="O798">
            <v>0</v>
          </cell>
          <cell r="P798">
            <v>0</v>
          </cell>
          <cell r="Q798">
            <v>10</v>
          </cell>
          <cell r="R798">
            <v>20</v>
          </cell>
          <cell r="S798">
            <v>0</v>
          </cell>
        </row>
        <row r="799">
          <cell r="O799">
            <v>0</v>
          </cell>
          <cell r="P799">
            <v>0</v>
          </cell>
          <cell r="Q799">
            <v>0</v>
          </cell>
          <cell r="R799">
            <v>20</v>
          </cell>
          <cell r="S799">
            <v>30</v>
          </cell>
        </row>
        <row r="800">
          <cell r="O800">
            <v>0</v>
          </cell>
          <cell r="P800">
            <v>0</v>
          </cell>
          <cell r="Q800">
            <v>0</v>
          </cell>
          <cell r="R800">
            <v>10</v>
          </cell>
          <cell r="S800">
            <v>20</v>
          </cell>
        </row>
        <row r="801">
          <cell r="O801">
            <v>10</v>
          </cell>
          <cell r="P801">
            <v>0</v>
          </cell>
          <cell r="Q801">
            <v>0</v>
          </cell>
          <cell r="R801">
            <v>10</v>
          </cell>
          <cell r="S801">
            <v>60</v>
          </cell>
        </row>
        <row r="802">
          <cell r="O802">
            <v>0</v>
          </cell>
          <cell r="P802">
            <v>10</v>
          </cell>
          <cell r="Q802">
            <v>0</v>
          </cell>
          <cell r="R802">
            <v>30</v>
          </cell>
          <cell r="S802">
            <v>0</v>
          </cell>
        </row>
        <row r="803">
          <cell r="O803">
            <v>0</v>
          </cell>
          <cell r="P803">
            <v>10</v>
          </cell>
          <cell r="Q803">
            <v>0</v>
          </cell>
          <cell r="R803">
            <v>50</v>
          </cell>
          <cell r="S803">
            <v>20</v>
          </cell>
        </row>
        <row r="804">
          <cell r="O804">
            <v>20</v>
          </cell>
          <cell r="P804">
            <v>0</v>
          </cell>
          <cell r="Q804">
            <v>0</v>
          </cell>
          <cell r="R804">
            <v>10</v>
          </cell>
          <cell r="S804">
            <v>20</v>
          </cell>
        </row>
        <row r="805">
          <cell r="O805">
            <v>60</v>
          </cell>
          <cell r="P805">
            <v>0</v>
          </cell>
          <cell r="Q805">
            <v>0</v>
          </cell>
          <cell r="R805">
            <v>20</v>
          </cell>
          <cell r="S805">
            <v>20</v>
          </cell>
        </row>
        <row r="806">
          <cell r="O806">
            <v>0</v>
          </cell>
          <cell r="P806">
            <v>0</v>
          </cell>
          <cell r="Q806">
            <v>10</v>
          </cell>
          <cell r="R806">
            <v>10</v>
          </cell>
          <cell r="S806">
            <v>0</v>
          </cell>
        </row>
        <row r="807">
          <cell r="O807">
            <v>10</v>
          </cell>
          <cell r="P807">
            <v>20</v>
          </cell>
          <cell r="Q807">
            <v>10</v>
          </cell>
          <cell r="R807">
            <v>40</v>
          </cell>
          <cell r="S807">
            <v>0</v>
          </cell>
        </row>
        <row r="808">
          <cell r="O808">
            <v>40</v>
          </cell>
          <cell r="P808">
            <v>0</v>
          </cell>
          <cell r="Q808">
            <v>0</v>
          </cell>
          <cell r="R808">
            <v>0</v>
          </cell>
          <cell r="S808">
            <v>30</v>
          </cell>
        </row>
        <row r="809">
          <cell r="O809">
            <v>100</v>
          </cell>
          <cell r="P809">
            <v>0</v>
          </cell>
          <cell r="Q809">
            <v>0</v>
          </cell>
          <cell r="R809">
            <v>0</v>
          </cell>
          <cell r="S809">
            <v>40</v>
          </cell>
        </row>
        <row r="810">
          <cell r="O810">
            <v>0</v>
          </cell>
          <cell r="P810">
            <v>20</v>
          </cell>
          <cell r="Q810">
            <v>40</v>
          </cell>
          <cell r="R810">
            <v>0</v>
          </cell>
          <cell r="S810">
            <v>0</v>
          </cell>
        </row>
        <row r="811">
          <cell r="O811">
            <v>10</v>
          </cell>
          <cell r="P811">
            <v>80</v>
          </cell>
          <cell r="Q811">
            <v>0</v>
          </cell>
          <cell r="R811">
            <v>0</v>
          </cell>
          <cell r="S811">
            <v>20</v>
          </cell>
        </row>
        <row r="812">
          <cell r="O812">
            <v>0</v>
          </cell>
          <cell r="P812">
            <v>30</v>
          </cell>
          <cell r="Q812">
            <v>50</v>
          </cell>
          <cell r="R812">
            <v>20</v>
          </cell>
          <cell r="S812">
            <v>0</v>
          </cell>
        </row>
        <row r="813">
          <cell r="O813">
            <v>70</v>
          </cell>
          <cell r="P813">
            <v>0</v>
          </cell>
          <cell r="Q813">
            <v>0</v>
          </cell>
          <cell r="R813">
            <v>0</v>
          </cell>
          <cell r="S813">
            <v>50</v>
          </cell>
        </row>
        <row r="814">
          <cell r="O814">
            <v>0</v>
          </cell>
          <cell r="P814">
            <v>0</v>
          </cell>
          <cell r="Q814">
            <v>50</v>
          </cell>
          <cell r="R814">
            <v>30</v>
          </cell>
          <cell r="S814">
            <v>0</v>
          </cell>
        </row>
        <row r="815">
          <cell r="O815">
            <v>0</v>
          </cell>
          <cell r="P815">
            <v>60</v>
          </cell>
          <cell r="Q815">
            <v>10</v>
          </cell>
          <cell r="R815">
            <v>0</v>
          </cell>
          <cell r="S815">
            <v>20</v>
          </cell>
        </row>
        <row r="816">
          <cell r="O816">
            <v>0</v>
          </cell>
          <cell r="P816">
            <v>0</v>
          </cell>
          <cell r="Q816">
            <v>20</v>
          </cell>
          <cell r="R816">
            <v>0</v>
          </cell>
          <cell r="S816">
            <v>0</v>
          </cell>
        </row>
        <row r="817">
          <cell r="O817">
            <v>0</v>
          </cell>
          <cell r="P817">
            <v>0</v>
          </cell>
          <cell r="Q817">
            <v>40</v>
          </cell>
          <cell r="R817">
            <v>0</v>
          </cell>
          <cell r="S817">
            <v>0</v>
          </cell>
        </row>
        <row r="818">
          <cell r="O818">
            <v>0</v>
          </cell>
          <cell r="P818">
            <v>0</v>
          </cell>
          <cell r="Q818">
            <v>50</v>
          </cell>
          <cell r="R818">
            <v>0</v>
          </cell>
          <cell r="S818">
            <v>20</v>
          </cell>
        </row>
        <row r="819">
          <cell r="O819">
            <v>0</v>
          </cell>
          <cell r="P819">
            <v>0</v>
          </cell>
          <cell r="Q819">
            <v>0</v>
          </cell>
          <cell r="R819">
            <v>40</v>
          </cell>
          <cell r="S819">
            <v>10</v>
          </cell>
        </row>
        <row r="820">
          <cell r="O820">
            <v>0</v>
          </cell>
          <cell r="P820">
            <v>0</v>
          </cell>
          <cell r="Q820">
            <v>10</v>
          </cell>
          <cell r="R820">
            <v>10</v>
          </cell>
          <cell r="S820">
            <v>20</v>
          </cell>
        </row>
        <row r="821">
          <cell r="O821">
            <v>0</v>
          </cell>
          <cell r="P821">
            <v>0</v>
          </cell>
          <cell r="Q821">
            <v>0</v>
          </cell>
          <cell r="R821">
            <v>10</v>
          </cell>
          <cell r="S821">
            <v>50</v>
          </cell>
        </row>
        <row r="822">
          <cell r="O822">
            <v>0</v>
          </cell>
          <cell r="P822">
            <v>0</v>
          </cell>
          <cell r="Q822">
            <v>30</v>
          </cell>
          <cell r="R822">
            <v>20</v>
          </cell>
          <cell r="S822">
            <v>0</v>
          </cell>
        </row>
        <row r="823">
          <cell r="O823">
            <v>0</v>
          </cell>
          <cell r="P823">
            <v>0</v>
          </cell>
          <cell r="Q823">
            <v>20</v>
          </cell>
          <cell r="R823">
            <v>20</v>
          </cell>
          <cell r="S823">
            <v>10</v>
          </cell>
        </row>
        <row r="824">
          <cell r="O824">
            <v>0</v>
          </cell>
          <cell r="P824">
            <v>0</v>
          </cell>
          <cell r="Q824">
            <v>10</v>
          </cell>
          <cell r="R824">
            <v>20</v>
          </cell>
          <cell r="S824">
            <v>20</v>
          </cell>
        </row>
        <row r="825">
          <cell r="O825">
            <v>0</v>
          </cell>
          <cell r="P825">
            <v>0</v>
          </cell>
          <cell r="Q825">
            <v>0</v>
          </cell>
          <cell r="R825">
            <v>20</v>
          </cell>
          <cell r="S825">
            <v>30</v>
          </cell>
        </row>
        <row r="826">
          <cell r="O826">
            <v>0</v>
          </cell>
          <cell r="P826">
            <v>30</v>
          </cell>
          <cell r="Q826">
            <v>40</v>
          </cell>
          <cell r="R826">
            <v>30</v>
          </cell>
          <cell r="S826">
            <v>0</v>
          </cell>
        </row>
        <row r="827">
          <cell r="O827">
            <v>0</v>
          </cell>
          <cell r="P827">
            <v>20</v>
          </cell>
          <cell r="Q827">
            <v>30</v>
          </cell>
          <cell r="R827">
            <v>30</v>
          </cell>
          <cell r="S827">
            <v>20</v>
          </cell>
        </row>
        <row r="828">
          <cell r="O828">
            <v>0</v>
          </cell>
          <cell r="P828">
            <v>10</v>
          </cell>
          <cell r="Q828">
            <v>20</v>
          </cell>
          <cell r="R828">
            <v>30</v>
          </cell>
          <cell r="S828">
            <v>40</v>
          </cell>
        </row>
        <row r="829">
          <cell r="O829">
            <v>0</v>
          </cell>
          <cell r="P829">
            <v>0</v>
          </cell>
          <cell r="Q829">
            <v>10</v>
          </cell>
          <cell r="R829">
            <v>30</v>
          </cell>
          <cell r="S829">
            <v>60</v>
          </cell>
        </row>
        <row r="830">
          <cell r="O830">
            <v>0</v>
          </cell>
          <cell r="P830">
            <v>20</v>
          </cell>
          <cell r="Q830">
            <v>20</v>
          </cell>
          <cell r="R830">
            <v>0</v>
          </cell>
          <cell r="S830">
            <v>30</v>
          </cell>
        </row>
        <row r="831">
          <cell r="O831">
            <v>0</v>
          </cell>
          <cell r="P831">
            <v>40</v>
          </cell>
          <cell r="Q831">
            <v>0</v>
          </cell>
          <cell r="R831">
            <v>0</v>
          </cell>
          <cell r="S831">
            <v>70</v>
          </cell>
        </row>
        <row r="832">
          <cell r="O832">
            <v>0</v>
          </cell>
          <cell r="P832">
            <v>0</v>
          </cell>
          <cell r="Q832">
            <v>0</v>
          </cell>
          <cell r="R832">
            <v>30</v>
          </cell>
          <cell r="S832">
            <v>10</v>
          </cell>
        </row>
        <row r="833">
          <cell r="O833">
            <v>20</v>
          </cell>
          <cell r="P833">
            <v>0</v>
          </cell>
          <cell r="Q833">
            <v>0</v>
          </cell>
          <cell r="R833">
            <v>50</v>
          </cell>
          <cell r="S833">
            <v>30</v>
          </cell>
        </row>
        <row r="834">
          <cell r="O834">
            <v>40</v>
          </cell>
          <cell r="P834">
            <v>70</v>
          </cell>
          <cell r="Q834">
            <v>0</v>
          </cell>
          <cell r="R834">
            <v>20</v>
          </cell>
          <cell r="S834">
            <v>30</v>
          </cell>
        </row>
        <row r="835">
          <cell r="O835">
            <v>70</v>
          </cell>
          <cell r="P835">
            <v>40</v>
          </cell>
          <cell r="Q835">
            <v>0</v>
          </cell>
          <cell r="R835">
            <v>20</v>
          </cell>
          <cell r="S835">
            <v>30</v>
          </cell>
        </row>
        <row r="836">
          <cell r="O836">
            <v>30</v>
          </cell>
          <cell r="P836">
            <v>20</v>
          </cell>
          <cell r="Q836">
            <v>0</v>
          </cell>
          <cell r="R836">
            <v>70</v>
          </cell>
          <cell r="S836">
            <v>40</v>
          </cell>
        </row>
        <row r="837">
          <cell r="O837">
            <v>40</v>
          </cell>
          <cell r="P837">
            <v>0</v>
          </cell>
          <cell r="Q837">
            <v>20</v>
          </cell>
          <cell r="R837">
            <v>50</v>
          </cell>
          <cell r="S837">
            <v>10</v>
          </cell>
        </row>
        <row r="839">
          <cell r="O839">
            <v>0</v>
          </cell>
          <cell r="P839">
            <v>90</v>
          </cell>
          <cell r="Q839">
            <v>50</v>
          </cell>
          <cell r="R839">
            <v>0</v>
          </cell>
          <cell r="S839">
            <v>40</v>
          </cell>
        </row>
        <row r="841">
          <cell r="O841">
            <v>0</v>
          </cell>
          <cell r="P841">
            <v>0</v>
          </cell>
          <cell r="Q841">
            <v>20</v>
          </cell>
          <cell r="R841">
            <v>60</v>
          </cell>
          <cell r="S841">
            <v>20</v>
          </cell>
        </row>
        <row r="842">
          <cell r="O842">
            <v>40</v>
          </cell>
          <cell r="P842">
            <v>0</v>
          </cell>
          <cell r="Q842">
            <v>0</v>
          </cell>
          <cell r="R842">
            <v>80</v>
          </cell>
          <cell r="S842">
            <v>40</v>
          </cell>
        </row>
        <row r="843">
          <cell r="O843">
            <v>50</v>
          </cell>
          <cell r="P843">
            <v>40</v>
          </cell>
          <cell r="Q843">
            <v>0</v>
          </cell>
          <cell r="R843">
            <v>0</v>
          </cell>
          <cell r="S843">
            <v>30</v>
          </cell>
        </row>
        <row r="844">
          <cell r="O844">
            <v>0</v>
          </cell>
          <cell r="P844">
            <v>0</v>
          </cell>
          <cell r="Q844">
            <v>30</v>
          </cell>
          <cell r="R844">
            <v>30</v>
          </cell>
          <cell r="S844">
            <v>0</v>
          </cell>
        </row>
        <row r="845">
          <cell r="O845">
            <v>30</v>
          </cell>
          <cell r="P845">
            <v>20</v>
          </cell>
          <cell r="Q845">
            <v>0</v>
          </cell>
          <cell r="R845">
            <v>40</v>
          </cell>
          <cell r="S845">
            <v>0</v>
          </cell>
        </row>
        <row r="846">
          <cell r="O846">
            <v>50</v>
          </cell>
          <cell r="P846">
            <v>0</v>
          </cell>
          <cell r="Q846">
            <v>0</v>
          </cell>
          <cell r="R846">
            <v>70</v>
          </cell>
          <cell r="S846">
            <v>0</v>
          </cell>
        </row>
        <row r="847">
          <cell r="O847">
            <v>0</v>
          </cell>
          <cell r="P847">
            <v>0</v>
          </cell>
          <cell r="Q847">
            <v>30</v>
          </cell>
          <cell r="R847">
            <v>10</v>
          </cell>
          <cell r="S847">
            <v>10</v>
          </cell>
        </row>
        <row r="848">
          <cell r="O848">
            <v>20</v>
          </cell>
          <cell r="P848">
            <v>0</v>
          </cell>
          <cell r="Q848">
            <v>20</v>
          </cell>
          <cell r="R848">
            <v>10</v>
          </cell>
          <cell r="S848">
            <v>30</v>
          </cell>
        </row>
        <row r="849">
          <cell r="O849">
            <v>40</v>
          </cell>
          <cell r="P849">
            <v>0</v>
          </cell>
          <cell r="Q849">
            <v>0</v>
          </cell>
          <cell r="R849">
            <v>0</v>
          </cell>
          <cell r="S849">
            <v>60</v>
          </cell>
        </row>
        <row r="850">
          <cell r="O850">
            <v>0</v>
          </cell>
          <cell r="P850">
            <v>0</v>
          </cell>
          <cell r="Q850">
            <v>50</v>
          </cell>
          <cell r="R850">
            <v>0</v>
          </cell>
          <cell r="S850">
            <v>0</v>
          </cell>
        </row>
        <row r="851">
          <cell r="O851">
            <v>0</v>
          </cell>
          <cell r="P851">
            <v>30</v>
          </cell>
          <cell r="Q851">
            <v>50</v>
          </cell>
          <cell r="R851">
            <v>0</v>
          </cell>
          <cell r="S851">
            <v>0</v>
          </cell>
        </row>
        <row r="852">
          <cell r="O852">
            <v>0</v>
          </cell>
          <cell r="P852">
            <v>50</v>
          </cell>
          <cell r="Q852">
            <v>30</v>
          </cell>
          <cell r="R852">
            <v>20</v>
          </cell>
          <cell r="S852">
            <v>0</v>
          </cell>
        </row>
        <row r="853">
          <cell r="O853">
            <v>10</v>
          </cell>
          <cell r="P853">
            <v>0</v>
          </cell>
          <cell r="Q853">
            <v>10</v>
          </cell>
          <cell r="R853">
            <v>10</v>
          </cell>
          <cell r="S853">
            <v>0</v>
          </cell>
        </row>
        <row r="854">
          <cell r="O854">
            <v>10</v>
          </cell>
          <cell r="P854">
            <v>0</v>
          </cell>
          <cell r="Q854">
            <v>0</v>
          </cell>
          <cell r="R854">
            <v>40</v>
          </cell>
          <cell r="S854">
            <v>0</v>
          </cell>
        </row>
        <row r="855">
          <cell r="O855">
            <v>30</v>
          </cell>
          <cell r="P855">
            <v>0</v>
          </cell>
          <cell r="Q855">
            <v>0</v>
          </cell>
          <cell r="R855">
            <v>40</v>
          </cell>
          <cell r="S855">
            <v>30</v>
          </cell>
        </row>
        <row r="856">
          <cell r="O856">
            <v>10</v>
          </cell>
          <cell r="P856">
            <v>0</v>
          </cell>
          <cell r="Q856">
            <v>0</v>
          </cell>
          <cell r="R856">
            <v>0</v>
          </cell>
          <cell r="S856">
            <v>30</v>
          </cell>
        </row>
        <row r="857">
          <cell r="O857">
            <v>40</v>
          </cell>
          <cell r="P857">
            <v>0</v>
          </cell>
          <cell r="Q857">
            <v>0</v>
          </cell>
          <cell r="R857">
            <v>0</v>
          </cell>
          <cell r="S857">
            <v>40</v>
          </cell>
        </row>
        <row r="858">
          <cell r="O858">
            <v>0</v>
          </cell>
          <cell r="P858">
            <v>0</v>
          </cell>
          <cell r="Q858">
            <v>0</v>
          </cell>
          <cell r="R858">
            <v>0</v>
          </cell>
          <cell r="S858">
            <v>10</v>
          </cell>
        </row>
        <row r="859">
          <cell r="O859">
            <v>0</v>
          </cell>
          <cell r="P859">
            <v>0</v>
          </cell>
          <cell r="Q859">
            <v>20</v>
          </cell>
          <cell r="R859">
            <v>20</v>
          </cell>
          <cell r="S859">
            <v>20</v>
          </cell>
        </row>
        <row r="860">
          <cell r="O860">
            <v>70</v>
          </cell>
          <cell r="P860">
            <v>0</v>
          </cell>
          <cell r="Q860">
            <v>0</v>
          </cell>
          <cell r="R860">
            <v>20</v>
          </cell>
          <cell r="S860">
            <v>20</v>
          </cell>
        </row>
        <row r="861">
          <cell r="O861">
            <v>20</v>
          </cell>
          <cell r="P861">
            <v>0</v>
          </cell>
          <cell r="Q861">
            <v>0</v>
          </cell>
          <cell r="R861">
            <v>0</v>
          </cell>
          <cell r="S861">
            <v>30</v>
          </cell>
        </row>
        <row r="862">
          <cell r="O862">
            <v>30</v>
          </cell>
          <cell r="P862">
            <v>0</v>
          </cell>
          <cell r="Q862">
            <v>0</v>
          </cell>
          <cell r="R862">
            <v>0</v>
          </cell>
          <cell r="S862">
            <v>60</v>
          </cell>
        </row>
        <row r="863">
          <cell r="O863">
            <v>0</v>
          </cell>
          <cell r="P863">
            <v>0</v>
          </cell>
          <cell r="Q863">
            <v>60</v>
          </cell>
          <cell r="R863">
            <v>0</v>
          </cell>
          <cell r="S863">
            <v>0</v>
          </cell>
        </row>
        <row r="864">
          <cell r="O864">
            <v>0</v>
          </cell>
          <cell r="P864">
            <v>0</v>
          </cell>
          <cell r="Q864">
            <v>30</v>
          </cell>
          <cell r="R864">
            <v>0</v>
          </cell>
          <cell r="S864">
            <v>30</v>
          </cell>
        </row>
        <row r="865">
          <cell r="O865">
            <v>0</v>
          </cell>
          <cell r="P865">
            <v>30</v>
          </cell>
          <cell r="Q865">
            <v>30</v>
          </cell>
          <cell r="R865">
            <v>0</v>
          </cell>
          <cell r="S865">
            <v>0</v>
          </cell>
        </row>
        <row r="866">
          <cell r="O866">
            <v>0</v>
          </cell>
          <cell r="P866">
            <v>0</v>
          </cell>
          <cell r="Q866">
            <v>30</v>
          </cell>
          <cell r="R866">
            <v>30</v>
          </cell>
          <cell r="S866">
            <v>0</v>
          </cell>
        </row>
        <row r="867">
          <cell r="O867">
            <v>0</v>
          </cell>
          <cell r="P867">
            <v>0</v>
          </cell>
          <cell r="Q867">
            <v>40</v>
          </cell>
          <cell r="R867">
            <v>0</v>
          </cell>
          <cell r="S867">
            <v>0</v>
          </cell>
        </row>
        <row r="868">
          <cell r="O868">
            <v>0</v>
          </cell>
          <cell r="P868">
            <v>0</v>
          </cell>
          <cell r="Q868">
            <v>70</v>
          </cell>
          <cell r="R868">
            <v>0</v>
          </cell>
          <cell r="S868">
            <v>0</v>
          </cell>
        </row>
        <row r="869">
          <cell r="O869">
            <v>0</v>
          </cell>
          <cell r="P869">
            <v>0</v>
          </cell>
          <cell r="Q869">
            <v>50</v>
          </cell>
          <cell r="R869">
            <v>0</v>
          </cell>
          <cell r="S869">
            <v>10</v>
          </cell>
        </row>
        <row r="870">
          <cell r="O870">
            <v>40</v>
          </cell>
          <cell r="P870">
            <v>20</v>
          </cell>
          <cell r="Q870">
            <v>0</v>
          </cell>
          <cell r="R870">
            <v>0</v>
          </cell>
          <cell r="S870">
            <v>10</v>
          </cell>
        </row>
        <row r="871">
          <cell r="O871">
            <v>20</v>
          </cell>
          <cell r="P871">
            <v>0</v>
          </cell>
          <cell r="Q871">
            <v>0</v>
          </cell>
          <cell r="R871">
            <v>0</v>
          </cell>
          <cell r="S871">
            <v>50</v>
          </cell>
        </row>
        <row r="872">
          <cell r="O872">
            <v>30</v>
          </cell>
          <cell r="P872">
            <v>10</v>
          </cell>
          <cell r="Q872">
            <v>0</v>
          </cell>
          <cell r="R872">
            <v>0</v>
          </cell>
          <cell r="S872">
            <v>30</v>
          </cell>
        </row>
        <row r="873">
          <cell r="O873">
            <v>10</v>
          </cell>
          <cell r="P873">
            <v>0</v>
          </cell>
          <cell r="Q873">
            <v>20</v>
          </cell>
          <cell r="R873">
            <v>20</v>
          </cell>
          <cell r="S873">
            <v>0</v>
          </cell>
        </row>
        <row r="875">
          <cell r="O875">
            <v>0</v>
          </cell>
          <cell r="P875">
            <v>0</v>
          </cell>
          <cell r="Q875">
            <v>10</v>
          </cell>
          <cell r="R875">
            <v>0</v>
          </cell>
          <cell r="S875">
            <v>10</v>
          </cell>
        </row>
        <row r="876">
          <cell r="O876">
            <v>10</v>
          </cell>
          <cell r="P876">
            <v>0</v>
          </cell>
          <cell r="Q876">
            <v>0</v>
          </cell>
          <cell r="R876">
            <v>20</v>
          </cell>
          <cell r="S876">
            <v>20</v>
          </cell>
        </row>
        <row r="877">
          <cell r="O877">
            <v>0</v>
          </cell>
          <cell r="P877">
            <v>0</v>
          </cell>
          <cell r="Q877">
            <v>20</v>
          </cell>
          <cell r="R877">
            <v>0</v>
          </cell>
          <cell r="S877">
            <v>50</v>
          </cell>
        </row>
        <row r="878">
          <cell r="O878">
            <v>0</v>
          </cell>
          <cell r="P878">
            <v>0</v>
          </cell>
          <cell r="Q878">
            <v>0</v>
          </cell>
          <cell r="R878">
            <v>0</v>
          </cell>
          <cell r="S878">
            <v>90</v>
          </cell>
        </row>
        <row r="879">
          <cell r="O879">
            <v>0</v>
          </cell>
          <cell r="P879">
            <v>10</v>
          </cell>
          <cell r="Q879">
            <v>0</v>
          </cell>
          <cell r="R879">
            <v>20</v>
          </cell>
          <cell r="S879">
            <v>0</v>
          </cell>
        </row>
        <row r="880">
          <cell r="O880">
            <v>0</v>
          </cell>
          <cell r="P880">
            <v>10</v>
          </cell>
          <cell r="Q880">
            <v>0</v>
          </cell>
          <cell r="R880">
            <v>20</v>
          </cell>
          <cell r="S880">
            <v>20</v>
          </cell>
        </row>
        <row r="881">
          <cell r="O881">
            <v>0</v>
          </cell>
          <cell r="P881">
            <v>0</v>
          </cell>
          <cell r="Q881">
            <v>10</v>
          </cell>
          <cell r="R881">
            <v>30</v>
          </cell>
          <cell r="S881">
            <v>0</v>
          </cell>
        </row>
        <row r="882">
          <cell r="O882">
            <v>20</v>
          </cell>
          <cell r="P882">
            <v>20</v>
          </cell>
          <cell r="Q882">
            <v>0</v>
          </cell>
          <cell r="R882">
            <v>50</v>
          </cell>
          <cell r="S882">
            <v>0</v>
          </cell>
        </row>
        <row r="883">
          <cell r="O883">
            <v>0</v>
          </cell>
          <cell r="P883">
            <v>0</v>
          </cell>
          <cell r="Q883">
            <v>30</v>
          </cell>
          <cell r="R883">
            <v>10</v>
          </cell>
          <cell r="S883">
            <v>0</v>
          </cell>
        </row>
        <row r="884">
          <cell r="O884">
            <v>0</v>
          </cell>
          <cell r="P884">
            <v>10</v>
          </cell>
          <cell r="Q884">
            <v>30</v>
          </cell>
          <cell r="R884">
            <v>20</v>
          </cell>
          <cell r="S884">
            <v>0</v>
          </cell>
        </row>
        <row r="885">
          <cell r="O885">
            <v>20</v>
          </cell>
          <cell r="P885">
            <v>0</v>
          </cell>
          <cell r="Q885">
            <v>0</v>
          </cell>
          <cell r="R885">
            <v>10</v>
          </cell>
          <cell r="S885">
            <v>0</v>
          </cell>
        </row>
        <row r="886">
          <cell r="O886">
            <v>40</v>
          </cell>
          <cell r="P886">
            <v>30</v>
          </cell>
          <cell r="Q886">
            <v>0</v>
          </cell>
          <cell r="R886">
            <v>20</v>
          </cell>
          <cell r="S886">
            <v>0</v>
          </cell>
        </row>
        <row r="887">
          <cell r="O887">
            <v>0</v>
          </cell>
          <cell r="P887">
            <v>0</v>
          </cell>
          <cell r="Q887">
            <v>60</v>
          </cell>
          <cell r="R887">
            <v>0</v>
          </cell>
          <cell r="S887">
            <v>10</v>
          </cell>
        </row>
        <row r="888">
          <cell r="O888">
            <v>0</v>
          </cell>
          <cell r="P888">
            <v>0</v>
          </cell>
          <cell r="Q888">
            <v>10</v>
          </cell>
          <cell r="R888">
            <v>0</v>
          </cell>
          <cell r="S888">
            <v>70</v>
          </cell>
        </row>
        <row r="889">
          <cell r="O889">
            <v>0</v>
          </cell>
          <cell r="P889">
            <v>10</v>
          </cell>
          <cell r="Q889">
            <v>30</v>
          </cell>
          <cell r="R889">
            <v>0</v>
          </cell>
          <cell r="S889">
            <v>0</v>
          </cell>
        </row>
        <row r="890">
          <cell r="O890">
            <v>0</v>
          </cell>
          <cell r="P890">
            <v>20</v>
          </cell>
          <cell r="Q890">
            <v>40</v>
          </cell>
          <cell r="R890">
            <v>0</v>
          </cell>
          <cell r="S890">
            <v>0</v>
          </cell>
        </row>
        <row r="891">
          <cell r="O891">
            <v>0</v>
          </cell>
          <cell r="P891">
            <v>60</v>
          </cell>
          <cell r="Q891">
            <v>0</v>
          </cell>
          <cell r="R891">
            <v>0</v>
          </cell>
          <cell r="S891">
            <v>40</v>
          </cell>
        </row>
        <row r="892">
          <cell r="O892">
            <v>0</v>
          </cell>
          <cell r="P892">
            <v>30</v>
          </cell>
          <cell r="Q892">
            <v>40</v>
          </cell>
          <cell r="R892">
            <v>0</v>
          </cell>
          <cell r="S892">
            <v>0</v>
          </cell>
        </row>
        <row r="893">
          <cell r="O893">
            <v>0</v>
          </cell>
          <cell r="P893">
            <v>0</v>
          </cell>
          <cell r="Q893">
            <v>0</v>
          </cell>
          <cell r="R893">
            <v>50</v>
          </cell>
          <cell r="S893">
            <v>0</v>
          </cell>
        </row>
        <row r="894">
          <cell r="O894">
            <v>30</v>
          </cell>
          <cell r="P894">
            <v>0</v>
          </cell>
          <cell r="Q894">
            <v>0</v>
          </cell>
          <cell r="R894">
            <v>0</v>
          </cell>
          <cell r="S894">
            <v>40</v>
          </cell>
        </row>
        <row r="895">
          <cell r="O895">
            <v>0</v>
          </cell>
          <cell r="P895">
            <v>0</v>
          </cell>
          <cell r="Q895">
            <v>0</v>
          </cell>
          <cell r="R895">
            <v>0</v>
          </cell>
          <cell r="S895">
            <v>0</v>
          </cell>
        </row>
        <row r="896">
          <cell r="O896">
            <v>40</v>
          </cell>
          <cell r="P896">
            <v>0</v>
          </cell>
          <cell r="Q896">
            <v>0</v>
          </cell>
          <cell r="R896">
            <v>0</v>
          </cell>
          <cell r="S896">
            <v>50</v>
          </cell>
        </row>
        <row r="897">
          <cell r="O897">
            <v>10</v>
          </cell>
          <cell r="P897">
            <v>0</v>
          </cell>
          <cell r="Q897">
            <v>10</v>
          </cell>
          <cell r="R897">
            <v>10</v>
          </cell>
          <cell r="S897">
            <v>0</v>
          </cell>
        </row>
        <row r="898">
          <cell r="O898">
            <v>30</v>
          </cell>
          <cell r="P898">
            <v>0</v>
          </cell>
          <cell r="Q898">
            <v>0</v>
          </cell>
          <cell r="R898">
            <v>40</v>
          </cell>
          <cell r="S898">
            <v>0</v>
          </cell>
        </row>
        <row r="899">
          <cell r="O899">
            <v>0</v>
          </cell>
          <cell r="P899">
            <v>0</v>
          </cell>
          <cell r="Q899">
            <v>30</v>
          </cell>
          <cell r="R899">
            <v>10</v>
          </cell>
          <cell r="S899">
            <v>20</v>
          </cell>
        </row>
        <row r="900">
          <cell r="O900">
            <v>20</v>
          </cell>
          <cell r="P900">
            <v>0</v>
          </cell>
          <cell r="Q900">
            <v>0</v>
          </cell>
          <cell r="R900">
            <v>0</v>
          </cell>
          <cell r="S900">
            <v>40</v>
          </cell>
        </row>
        <row r="901">
          <cell r="O901">
            <v>60</v>
          </cell>
          <cell r="P901">
            <v>10</v>
          </cell>
          <cell r="Q901">
            <v>0</v>
          </cell>
          <cell r="R901">
            <v>30</v>
          </cell>
          <cell r="S901">
            <v>40</v>
          </cell>
        </row>
        <row r="902">
          <cell r="O902">
            <v>10</v>
          </cell>
          <cell r="P902">
            <v>30</v>
          </cell>
          <cell r="Q902">
            <v>0</v>
          </cell>
          <cell r="R902">
            <v>10</v>
          </cell>
          <cell r="S902">
            <v>30</v>
          </cell>
        </row>
        <row r="904">
          <cell r="O904">
            <v>0</v>
          </cell>
          <cell r="P904">
            <v>0</v>
          </cell>
          <cell r="Q904">
            <v>40</v>
          </cell>
          <cell r="R904">
            <v>0</v>
          </cell>
          <cell r="S904">
            <v>10</v>
          </cell>
        </row>
        <row r="905">
          <cell r="O905">
            <v>40</v>
          </cell>
          <cell r="P905">
            <v>20</v>
          </cell>
          <cell r="Q905">
            <v>0</v>
          </cell>
          <cell r="R905">
            <v>0</v>
          </cell>
          <cell r="S905">
            <v>50</v>
          </cell>
        </row>
        <row r="906">
          <cell r="O906">
            <v>0</v>
          </cell>
          <cell r="P906">
            <v>0</v>
          </cell>
          <cell r="Q906">
            <v>40</v>
          </cell>
          <cell r="R906">
            <v>10</v>
          </cell>
          <cell r="S906">
            <v>20</v>
          </cell>
        </row>
        <row r="907">
          <cell r="O907">
            <v>0</v>
          </cell>
          <cell r="P907">
            <v>0</v>
          </cell>
          <cell r="Q907">
            <v>50</v>
          </cell>
          <cell r="R907">
            <v>50</v>
          </cell>
          <cell r="S907">
            <v>0</v>
          </cell>
        </row>
        <row r="908">
          <cell r="O908">
            <v>20</v>
          </cell>
          <cell r="P908">
            <v>10</v>
          </cell>
          <cell r="Q908">
            <v>10</v>
          </cell>
          <cell r="R908">
            <v>20</v>
          </cell>
          <cell r="S908">
            <v>0</v>
          </cell>
        </row>
        <row r="909">
          <cell r="O909">
            <v>20</v>
          </cell>
          <cell r="P909">
            <v>20</v>
          </cell>
          <cell r="Q909">
            <v>20</v>
          </cell>
          <cell r="R909">
            <v>20</v>
          </cell>
          <cell r="S909">
            <v>20</v>
          </cell>
        </row>
        <row r="910">
          <cell r="O910">
            <v>10</v>
          </cell>
          <cell r="P910">
            <v>0</v>
          </cell>
          <cell r="Q910">
            <v>0</v>
          </cell>
          <cell r="R910">
            <v>40</v>
          </cell>
          <cell r="S910">
            <v>20</v>
          </cell>
        </row>
        <row r="911">
          <cell r="O911">
            <v>0</v>
          </cell>
          <cell r="P911">
            <v>0</v>
          </cell>
          <cell r="Q911">
            <v>20</v>
          </cell>
          <cell r="R911">
            <v>0</v>
          </cell>
          <cell r="S911">
            <v>0</v>
          </cell>
        </row>
        <row r="912">
          <cell r="O912">
            <v>40</v>
          </cell>
          <cell r="P912">
            <v>20</v>
          </cell>
          <cell r="Q912">
            <v>0</v>
          </cell>
          <cell r="R912">
            <v>0</v>
          </cell>
          <cell r="S912">
            <v>20</v>
          </cell>
        </row>
        <row r="913">
          <cell r="O913">
            <v>40</v>
          </cell>
          <cell r="P913">
            <v>40</v>
          </cell>
          <cell r="Q913">
            <v>0</v>
          </cell>
          <cell r="R913">
            <v>0</v>
          </cell>
          <cell r="S913">
            <v>60</v>
          </cell>
        </row>
        <row r="914">
          <cell r="O914">
            <v>60</v>
          </cell>
          <cell r="P914">
            <v>40</v>
          </cell>
          <cell r="Q914">
            <v>0</v>
          </cell>
          <cell r="R914">
            <v>20</v>
          </cell>
          <cell r="S914">
            <v>0</v>
          </cell>
        </row>
        <row r="915">
          <cell r="O915">
            <v>0</v>
          </cell>
          <cell r="P915">
            <v>0</v>
          </cell>
          <cell r="Q915">
            <v>60</v>
          </cell>
          <cell r="R915">
            <v>20</v>
          </cell>
          <cell r="S915">
            <v>40</v>
          </cell>
        </row>
        <row r="916">
          <cell r="O916">
            <v>40</v>
          </cell>
          <cell r="P916">
            <v>0</v>
          </cell>
          <cell r="Q916">
            <v>0</v>
          </cell>
          <cell r="R916">
            <v>20</v>
          </cell>
          <cell r="S916">
            <v>60</v>
          </cell>
        </row>
        <row r="917">
          <cell r="O917">
            <v>0</v>
          </cell>
          <cell r="P917">
            <v>60</v>
          </cell>
          <cell r="Q917">
            <v>40</v>
          </cell>
          <cell r="R917">
            <v>20</v>
          </cell>
          <cell r="S917">
            <v>0</v>
          </cell>
        </row>
        <row r="918">
          <cell r="O918">
            <v>0</v>
          </cell>
          <cell r="P918">
            <v>0</v>
          </cell>
          <cell r="Q918">
            <v>47</v>
          </cell>
          <cell r="R918">
            <v>3</v>
          </cell>
          <cell r="S918">
            <v>0</v>
          </cell>
        </row>
        <row r="919">
          <cell r="O919">
            <v>0</v>
          </cell>
          <cell r="P919">
            <v>31</v>
          </cell>
          <cell r="Q919">
            <v>0</v>
          </cell>
          <cell r="R919">
            <v>0</v>
          </cell>
          <cell r="S919">
            <v>19</v>
          </cell>
        </row>
        <row r="920">
          <cell r="O920">
            <v>61</v>
          </cell>
          <cell r="P920">
            <v>37</v>
          </cell>
          <cell r="Q920">
            <v>3</v>
          </cell>
          <cell r="R920">
            <v>0</v>
          </cell>
          <cell r="S920">
            <v>59</v>
          </cell>
        </row>
        <row r="921">
          <cell r="O921">
            <v>41</v>
          </cell>
          <cell r="P921">
            <v>61</v>
          </cell>
          <cell r="Q921">
            <v>17</v>
          </cell>
          <cell r="R921">
            <v>41</v>
          </cell>
          <cell r="S921">
            <v>0</v>
          </cell>
        </row>
        <row r="922">
          <cell r="O922">
            <v>0</v>
          </cell>
          <cell r="P922">
            <v>23</v>
          </cell>
          <cell r="Q922">
            <v>37</v>
          </cell>
          <cell r="R922">
            <v>53</v>
          </cell>
          <cell r="S922">
            <v>7</v>
          </cell>
        </row>
        <row r="923">
          <cell r="O923">
            <v>73</v>
          </cell>
          <cell r="P923">
            <v>0</v>
          </cell>
          <cell r="Q923">
            <v>0</v>
          </cell>
          <cell r="R923">
            <v>0</v>
          </cell>
          <cell r="S923">
            <v>47</v>
          </cell>
        </row>
        <row r="924">
          <cell r="O924">
            <v>0</v>
          </cell>
          <cell r="P924">
            <v>89</v>
          </cell>
          <cell r="Q924">
            <v>0</v>
          </cell>
          <cell r="R924">
            <v>0</v>
          </cell>
          <cell r="S924">
            <v>31</v>
          </cell>
        </row>
        <row r="925">
          <cell r="O925">
            <v>19</v>
          </cell>
          <cell r="P925">
            <v>61</v>
          </cell>
          <cell r="Q925">
            <v>0</v>
          </cell>
          <cell r="R925">
            <v>37</v>
          </cell>
          <cell r="S925">
            <v>3</v>
          </cell>
        </row>
        <row r="926">
          <cell r="O926">
            <v>29</v>
          </cell>
          <cell r="P926">
            <v>11</v>
          </cell>
          <cell r="Q926">
            <v>0</v>
          </cell>
          <cell r="R926">
            <v>1</v>
          </cell>
          <cell r="S926">
            <v>79</v>
          </cell>
        </row>
        <row r="927">
          <cell r="O927">
            <v>67</v>
          </cell>
          <cell r="P927">
            <v>0</v>
          </cell>
          <cell r="Q927">
            <v>0</v>
          </cell>
          <cell r="R927">
            <v>53</v>
          </cell>
          <cell r="S927">
            <v>0</v>
          </cell>
        </row>
        <row r="928">
          <cell r="O928">
            <v>37</v>
          </cell>
          <cell r="P928">
            <v>0</v>
          </cell>
          <cell r="Q928">
            <v>0</v>
          </cell>
          <cell r="R928">
            <v>0</v>
          </cell>
          <cell r="S928">
            <v>83</v>
          </cell>
        </row>
        <row r="929">
          <cell r="O929">
            <v>17</v>
          </cell>
          <cell r="P929">
            <v>43</v>
          </cell>
          <cell r="Q929">
            <v>0</v>
          </cell>
          <cell r="R929">
            <v>1</v>
          </cell>
          <cell r="S929">
            <v>59</v>
          </cell>
        </row>
        <row r="930">
          <cell r="O930">
            <v>59</v>
          </cell>
          <cell r="P930">
            <v>41</v>
          </cell>
          <cell r="Q930">
            <v>0</v>
          </cell>
          <cell r="R930">
            <v>1</v>
          </cell>
          <cell r="S930">
            <v>59</v>
          </cell>
        </row>
        <row r="931">
          <cell r="O931">
            <v>17</v>
          </cell>
          <cell r="P931">
            <v>43</v>
          </cell>
          <cell r="Q931">
            <v>0</v>
          </cell>
          <cell r="R931">
            <v>41</v>
          </cell>
          <cell r="S931">
            <v>59</v>
          </cell>
        </row>
        <row r="933">
          <cell r="O933">
            <v>0</v>
          </cell>
          <cell r="P933">
            <v>40</v>
          </cell>
          <cell r="Q933">
            <v>30</v>
          </cell>
          <cell r="R933">
            <v>20</v>
          </cell>
          <cell r="S933">
            <v>30</v>
          </cell>
        </row>
        <row r="934">
          <cell r="O934">
            <v>50</v>
          </cell>
          <cell r="P934">
            <v>0</v>
          </cell>
          <cell r="Q934">
            <v>0</v>
          </cell>
          <cell r="R934">
            <v>40</v>
          </cell>
          <cell r="S934">
            <v>30</v>
          </cell>
        </row>
        <row r="935">
          <cell r="O935">
            <v>23</v>
          </cell>
          <cell r="P935">
            <v>17</v>
          </cell>
          <cell r="Q935">
            <v>17</v>
          </cell>
          <cell r="R935">
            <v>23</v>
          </cell>
          <cell r="S935">
            <v>0</v>
          </cell>
        </row>
        <row r="936">
          <cell r="O936">
            <v>61</v>
          </cell>
          <cell r="P936">
            <v>17</v>
          </cell>
          <cell r="Q936">
            <v>0</v>
          </cell>
          <cell r="R936">
            <v>23</v>
          </cell>
          <cell r="S936">
            <v>19</v>
          </cell>
        </row>
        <row r="937">
          <cell r="O937">
            <v>0</v>
          </cell>
          <cell r="P937">
            <v>0</v>
          </cell>
          <cell r="Q937">
            <v>0</v>
          </cell>
          <cell r="R937">
            <v>31</v>
          </cell>
          <cell r="S937">
            <v>89</v>
          </cell>
        </row>
        <row r="938">
          <cell r="O938">
            <v>29</v>
          </cell>
          <cell r="P938">
            <v>31</v>
          </cell>
          <cell r="Q938">
            <v>1</v>
          </cell>
          <cell r="R938">
            <v>59</v>
          </cell>
          <cell r="S938">
            <v>0</v>
          </cell>
        </row>
        <row r="939">
          <cell r="O939">
            <v>60</v>
          </cell>
          <cell r="P939">
            <v>20</v>
          </cell>
          <cell r="Q939">
            <v>0</v>
          </cell>
          <cell r="R939">
            <v>10</v>
          </cell>
          <cell r="S939">
            <v>30</v>
          </cell>
        </row>
        <row r="940">
          <cell r="O940">
            <v>20</v>
          </cell>
          <cell r="P940">
            <v>20</v>
          </cell>
          <cell r="Q940">
            <v>20</v>
          </cell>
          <cell r="R940">
            <v>20</v>
          </cell>
          <cell r="S940">
            <v>0</v>
          </cell>
        </row>
        <row r="941">
          <cell r="O941">
            <v>60</v>
          </cell>
          <cell r="P941">
            <v>0</v>
          </cell>
          <cell r="Q941">
            <v>20</v>
          </cell>
          <cell r="R941">
            <v>0</v>
          </cell>
          <cell r="S941">
            <v>40</v>
          </cell>
        </row>
        <row r="942">
          <cell r="O942">
            <v>10</v>
          </cell>
          <cell r="P942">
            <v>0</v>
          </cell>
          <cell r="Q942">
            <v>20</v>
          </cell>
          <cell r="R942">
            <v>10</v>
          </cell>
          <cell r="S942">
            <v>10</v>
          </cell>
        </row>
        <row r="943">
          <cell r="O943">
            <v>20</v>
          </cell>
          <cell r="P943">
            <v>0</v>
          </cell>
          <cell r="Q943">
            <v>0</v>
          </cell>
          <cell r="R943">
            <v>20</v>
          </cell>
          <cell r="S943">
            <v>20</v>
          </cell>
        </row>
        <row r="944">
          <cell r="O944">
            <v>20</v>
          </cell>
          <cell r="P944">
            <v>0</v>
          </cell>
          <cell r="Q944">
            <v>0</v>
          </cell>
          <cell r="R944">
            <v>20</v>
          </cell>
          <cell r="S944">
            <v>50</v>
          </cell>
        </row>
        <row r="945">
          <cell r="O945">
            <v>20</v>
          </cell>
          <cell r="P945">
            <v>0</v>
          </cell>
          <cell r="Q945">
            <v>30</v>
          </cell>
          <cell r="R945">
            <v>0</v>
          </cell>
          <cell r="S945">
            <v>0</v>
          </cell>
        </row>
        <row r="946">
          <cell r="O946">
            <v>40</v>
          </cell>
          <cell r="P946">
            <v>0</v>
          </cell>
          <cell r="Q946">
            <v>20</v>
          </cell>
          <cell r="R946">
            <v>20</v>
          </cell>
          <cell r="S946">
            <v>0</v>
          </cell>
        </row>
        <row r="947">
          <cell r="O947">
            <v>60</v>
          </cell>
          <cell r="P947">
            <v>0</v>
          </cell>
          <cell r="Q947">
            <v>20</v>
          </cell>
          <cell r="R947">
            <v>20</v>
          </cell>
          <cell r="S947">
            <v>0</v>
          </cell>
        </row>
        <row r="948">
          <cell r="O948">
            <v>0</v>
          </cell>
          <cell r="P948">
            <v>0</v>
          </cell>
          <cell r="Q948">
            <v>10</v>
          </cell>
          <cell r="R948">
            <v>10</v>
          </cell>
          <cell r="S948">
            <v>0</v>
          </cell>
        </row>
        <row r="949">
          <cell r="O949">
            <v>30</v>
          </cell>
          <cell r="P949">
            <v>0</v>
          </cell>
          <cell r="Q949">
            <v>0</v>
          </cell>
          <cell r="R949">
            <v>40</v>
          </cell>
          <cell r="S949">
            <v>0</v>
          </cell>
        </row>
        <row r="950">
          <cell r="O950">
            <v>40</v>
          </cell>
          <cell r="P950">
            <v>0</v>
          </cell>
          <cell r="Q950">
            <v>0</v>
          </cell>
          <cell r="R950">
            <v>70</v>
          </cell>
          <cell r="S950">
            <v>0</v>
          </cell>
        </row>
        <row r="951">
          <cell r="O951">
            <v>0</v>
          </cell>
          <cell r="P951">
            <v>0</v>
          </cell>
          <cell r="Q951">
            <v>20</v>
          </cell>
          <cell r="R951">
            <v>0</v>
          </cell>
          <cell r="S951">
            <v>10</v>
          </cell>
        </row>
        <row r="952">
          <cell r="O952">
            <v>0</v>
          </cell>
          <cell r="P952">
            <v>0</v>
          </cell>
          <cell r="Q952">
            <v>10</v>
          </cell>
          <cell r="R952">
            <v>0</v>
          </cell>
          <cell r="S952">
            <v>20</v>
          </cell>
        </row>
        <row r="953">
          <cell r="O953">
            <v>20</v>
          </cell>
          <cell r="P953">
            <v>0</v>
          </cell>
          <cell r="Q953">
            <v>0</v>
          </cell>
          <cell r="R953">
            <v>10</v>
          </cell>
          <cell r="S953">
            <v>0</v>
          </cell>
        </row>
        <row r="954">
          <cell r="O954">
            <v>40</v>
          </cell>
          <cell r="P954">
            <v>0</v>
          </cell>
          <cell r="Q954">
            <v>0</v>
          </cell>
          <cell r="R954">
            <v>20</v>
          </cell>
          <cell r="S954">
            <v>10</v>
          </cell>
        </row>
        <row r="955">
          <cell r="O955">
            <v>70</v>
          </cell>
          <cell r="P955">
            <v>10</v>
          </cell>
          <cell r="Q955">
            <v>0</v>
          </cell>
          <cell r="R955">
            <v>20</v>
          </cell>
          <cell r="S955">
            <v>40</v>
          </cell>
        </row>
        <row r="956">
          <cell r="O956">
            <v>0</v>
          </cell>
          <cell r="P956">
            <v>0</v>
          </cell>
          <cell r="Q956">
            <v>0</v>
          </cell>
          <cell r="R956">
            <v>10</v>
          </cell>
          <cell r="S956">
            <v>0</v>
          </cell>
        </row>
        <row r="957">
          <cell r="O957">
            <v>0</v>
          </cell>
          <cell r="P957">
            <v>0</v>
          </cell>
          <cell r="Q957">
            <v>0</v>
          </cell>
          <cell r="R957">
            <v>20</v>
          </cell>
          <cell r="S957">
            <v>20</v>
          </cell>
        </row>
        <row r="958">
          <cell r="O958">
            <v>0</v>
          </cell>
          <cell r="P958">
            <v>10</v>
          </cell>
          <cell r="Q958">
            <v>0</v>
          </cell>
          <cell r="R958">
            <v>40</v>
          </cell>
          <cell r="S958">
            <v>20</v>
          </cell>
        </row>
        <row r="959">
          <cell r="O959">
            <v>0</v>
          </cell>
          <cell r="P959">
            <v>0</v>
          </cell>
          <cell r="Q959">
            <v>10</v>
          </cell>
          <cell r="R959">
            <v>40</v>
          </cell>
          <cell r="S959">
            <v>0</v>
          </cell>
        </row>
        <row r="960">
          <cell r="O960">
            <v>30</v>
          </cell>
          <cell r="P960">
            <v>0</v>
          </cell>
          <cell r="Q960">
            <v>0</v>
          </cell>
          <cell r="R960">
            <v>60</v>
          </cell>
          <cell r="S960">
            <v>0</v>
          </cell>
        </row>
        <row r="961">
          <cell r="O961">
            <v>0</v>
          </cell>
          <cell r="P961">
            <v>30</v>
          </cell>
          <cell r="Q961">
            <v>30</v>
          </cell>
          <cell r="R961">
            <v>0</v>
          </cell>
          <cell r="S961">
            <v>0</v>
          </cell>
        </row>
        <row r="962">
          <cell r="O962">
            <v>0</v>
          </cell>
          <cell r="P962">
            <v>40</v>
          </cell>
          <cell r="Q962">
            <v>40</v>
          </cell>
          <cell r="R962">
            <v>0</v>
          </cell>
          <cell r="S962">
            <v>0</v>
          </cell>
        </row>
        <row r="963">
          <cell r="O963">
            <v>0</v>
          </cell>
          <cell r="P963">
            <v>0</v>
          </cell>
          <cell r="Q963">
            <v>40</v>
          </cell>
          <cell r="R963">
            <v>0</v>
          </cell>
          <cell r="S963">
            <v>20</v>
          </cell>
        </row>
        <row r="964">
          <cell r="O964">
            <v>10</v>
          </cell>
          <cell r="P964">
            <v>0</v>
          </cell>
          <cell r="Q964">
            <v>0</v>
          </cell>
          <cell r="R964">
            <v>0</v>
          </cell>
          <cell r="S964">
            <v>50</v>
          </cell>
        </row>
        <row r="965">
          <cell r="O965">
            <v>0</v>
          </cell>
          <cell r="P965">
            <v>0</v>
          </cell>
          <cell r="Q965">
            <v>0</v>
          </cell>
          <cell r="R965">
            <v>0</v>
          </cell>
          <cell r="S965">
            <v>30</v>
          </cell>
        </row>
        <row r="966">
          <cell r="O966">
            <v>10</v>
          </cell>
          <cell r="P966">
            <v>0</v>
          </cell>
          <cell r="Q966">
            <v>0</v>
          </cell>
          <cell r="R966">
            <v>0</v>
          </cell>
          <cell r="S966">
            <v>60</v>
          </cell>
        </row>
        <row r="967">
          <cell r="O967">
            <v>0</v>
          </cell>
          <cell r="P967">
            <v>0</v>
          </cell>
          <cell r="Q967">
            <v>50</v>
          </cell>
          <cell r="R967">
            <v>0</v>
          </cell>
          <cell r="S967">
            <v>0</v>
          </cell>
        </row>
        <row r="968">
          <cell r="O968">
            <v>30</v>
          </cell>
          <cell r="P968">
            <v>0</v>
          </cell>
          <cell r="Q968">
            <v>20</v>
          </cell>
          <cell r="R968">
            <v>0</v>
          </cell>
          <cell r="S968">
            <v>0</v>
          </cell>
        </row>
        <row r="969">
          <cell r="O969">
            <v>0</v>
          </cell>
          <cell r="P969">
            <v>0</v>
          </cell>
          <cell r="Q969">
            <v>0</v>
          </cell>
          <cell r="R969">
            <v>10</v>
          </cell>
          <cell r="S969">
            <v>20</v>
          </cell>
        </row>
        <row r="970">
          <cell r="O970">
            <v>10</v>
          </cell>
          <cell r="P970">
            <v>0</v>
          </cell>
          <cell r="Q970">
            <v>0</v>
          </cell>
          <cell r="R970">
            <v>30</v>
          </cell>
          <cell r="S970">
            <v>40</v>
          </cell>
        </row>
        <row r="971">
          <cell r="O971">
            <v>20</v>
          </cell>
          <cell r="P971">
            <v>0</v>
          </cell>
          <cell r="Q971">
            <v>0</v>
          </cell>
          <cell r="R971">
            <v>20</v>
          </cell>
          <cell r="S971">
            <v>60</v>
          </cell>
        </row>
        <row r="972">
          <cell r="O972">
            <v>0</v>
          </cell>
          <cell r="P972">
            <v>0</v>
          </cell>
          <cell r="Q972">
            <v>0</v>
          </cell>
          <cell r="R972">
            <v>10</v>
          </cell>
          <cell r="S972">
            <v>10</v>
          </cell>
        </row>
        <row r="973">
          <cell r="O973">
            <v>0</v>
          </cell>
          <cell r="P973">
            <v>0</v>
          </cell>
          <cell r="Q973">
            <v>0</v>
          </cell>
          <cell r="R973">
            <v>40</v>
          </cell>
          <cell r="S973">
            <v>20</v>
          </cell>
        </row>
        <row r="974">
          <cell r="O974">
            <v>0</v>
          </cell>
          <cell r="P974">
            <v>0</v>
          </cell>
          <cell r="Q974">
            <v>20</v>
          </cell>
          <cell r="R974">
            <v>40</v>
          </cell>
          <cell r="S974">
            <v>0</v>
          </cell>
        </row>
        <row r="975">
          <cell r="O975">
            <v>20</v>
          </cell>
          <cell r="P975">
            <v>0</v>
          </cell>
          <cell r="Q975">
            <v>0</v>
          </cell>
          <cell r="R975">
            <v>0</v>
          </cell>
          <cell r="S975">
            <v>0</v>
          </cell>
        </row>
        <row r="976">
          <cell r="O976">
            <v>20</v>
          </cell>
          <cell r="P976">
            <v>0</v>
          </cell>
          <cell r="Q976">
            <v>0</v>
          </cell>
          <cell r="R976">
            <v>20</v>
          </cell>
          <cell r="S976">
            <v>10</v>
          </cell>
        </row>
        <row r="977">
          <cell r="O977">
            <v>0</v>
          </cell>
          <cell r="P977">
            <v>0</v>
          </cell>
          <cell r="Q977">
            <v>30</v>
          </cell>
          <cell r="R977">
            <v>0</v>
          </cell>
          <cell r="S977">
            <v>0</v>
          </cell>
        </row>
        <row r="978">
          <cell r="O978">
            <v>40</v>
          </cell>
          <cell r="P978">
            <v>0</v>
          </cell>
          <cell r="Q978">
            <v>0</v>
          </cell>
          <cell r="R978">
            <v>0</v>
          </cell>
          <cell r="S978">
            <v>0</v>
          </cell>
        </row>
        <row r="979">
          <cell r="O979">
            <v>70</v>
          </cell>
          <cell r="P979">
            <v>0</v>
          </cell>
          <cell r="Q979">
            <v>0</v>
          </cell>
          <cell r="R979">
            <v>0</v>
          </cell>
          <cell r="S979">
            <v>0</v>
          </cell>
        </row>
        <row r="980">
          <cell r="O980">
            <v>0</v>
          </cell>
          <cell r="P980">
            <v>0</v>
          </cell>
          <cell r="Q980">
            <v>20</v>
          </cell>
          <cell r="R980">
            <v>0</v>
          </cell>
          <cell r="S980">
            <v>0</v>
          </cell>
        </row>
        <row r="981">
          <cell r="O981">
            <v>50</v>
          </cell>
          <cell r="P981">
            <v>0</v>
          </cell>
          <cell r="Q981">
            <v>0</v>
          </cell>
          <cell r="R981">
            <v>0</v>
          </cell>
          <cell r="S981">
            <v>0</v>
          </cell>
        </row>
        <row r="982">
          <cell r="O982">
            <v>30</v>
          </cell>
          <cell r="P982">
            <v>20</v>
          </cell>
          <cell r="Q982">
            <v>0</v>
          </cell>
          <cell r="R982">
            <v>0</v>
          </cell>
          <cell r="S982">
            <v>0</v>
          </cell>
        </row>
        <row r="983">
          <cell r="O983">
            <v>30</v>
          </cell>
          <cell r="P983">
            <v>0</v>
          </cell>
          <cell r="Q983">
            <v>0</v>
          </cell>
          <cell r="R983">
            <v>0</v>
          </cell>
          <cell r="S983">
            <v>0</v>
          </cell>
        </row>
        <row r="984">
          <cell r="O984">
            <v>40</v>
          </cell>
          <cell r="P984">
            <v>0</v>
          </cell>
          <cell r="Q984">
            <v>0</v>
          </cell>
          <cell r="R984">
            <v>0</v>
          </cell>
          <cell r="S984">
            <v>0</v>
          </cell>
        </row>
        <row r="985">
          <cell r="O985">
            <v>10</v>
          </cell>
          <cell r="P985">
            <v>0</v>
          </cell>
          <cell r="Q985">
            <v>10</v>
          </cell>
          <cell r="R985">
            <v>0</v>
          </cell>
          <cell r="S985">
            <v>10</v>
          </cell>
        </row>
        <row r="986">
          <cell r="O986">
            <v>20</v>
          </cell>
          <cell r="P986">
            <v>0</v>
          </cell>
          <cell r="Q986">
            <v>0</v>
          </cell>
          <cell r="R986">
            <v>0</v>
          </cell>
          <cell r="S986">
            <v>30</v>
          </cell>
        </row>
        <row r="987">
          <cell r="O987">
            <v>0</v>
          </cell>
          <cell r="P987">
            <v>20</v>
          </cell>
          <cell r="Q987">
            <v>20</v>
          </cell>
          <cell r="R987">
            <v>20</v>
          </cell>
          <cell r="S987">
            <v>0</v>
          </cell>
        </row>
        <row r="988">
          <cell r="O988">
            <v>0</v>
          </cell>
          <cell r="P988">
            <v>40</v>
          </cell>
          <cell r="Q988">
            <v>20</v>
          </cell>
          <cell r="R988">
            <v>40</v>
          </cell>
          <cell r="S988">
            <v>0</v>
          </cell>
        </row>
        <row r="989">
          <cell r="O989">
            <v>0</v>
          </cell>
          <cell r="P989">
            <v>30</v>
          </cell>
          <cell r="Q989">
            <v>40</v>
          </cell>
          <cell r="R989">
            <v>30</v>
          </cell>
          <cell r="S989">
            <v>0</v>
          </cell>
        </row>
        <row r="990">
          <cell r="O990">
            <v>0</v>
          </cell>
          <cell r="P990">
            <v>60</v>
          </cell>
          <cell r="Q990">
            <v>40</v>
          </cell>
          <cell r="R990">
            <v>60</v>
          </cell>
          <cell r="S990">
            <v>0</v>
          </cell>
        </row>
        <row r="991">
          <cell r="O991">
            <v>0</v>
          </cell>
          <cell r="P991">
            <v>0</v>
          </cell>
          <cell r="Q991">
            <v>30</v>
          </cell>
          <cell r="R991">
            <v>0</v>
          </cell>
          <cell r="S991">
            <v>0</v>
          </cell>
        </row>
        <row r="992">
          <cell r="O992">
            <v>0</v>
          </cell>
          <cell r="P992">
            <v>10</v>
          </cell>
          <cell r="Q992">
            <v>40</v>
          </cell>
          <cell r="R992">
            <v>0</v>
          </cell>
          <cell r="S992">
            <v>20</v>
          </cell>
        </row>
        <row r="993">
          <cell r="O993">
            <v>0</v>
          </cell>
          <cell r="P993">
            <v>30</v>
          </cell>
          <cell r="Q993">
            <v>10</v>
          </cell>
          <cell r="R993">
            <v>30</v>
          </cell>
          <cell r="S993">
            <v>0</v>
          </cell>
        </row>
        <row r="994">
          <cell r="O994">
            <v>10</v>
          </cell>
          <cell r="P994">
            <v>0</v>
          </cell>
          <cell r="Q994">
            <v>10</v>
          </cell>
          <cell r="R994">
            <v>10</v>
          </cell>
          <cell r="S994">
            <v>0</v>
          </cell>
        </row>
        <row r="995">
          <cell r="O995">
            <v>30</v>
          </cell>
          <cell r="P995">
            <v>0</v>
          </cell>
          <cell r="Q995">
            <v>0</v>
          </cell>
          <cell r="R995">
            <v>30</v>
          </cell>
          <cell r="S995">
            <v>0</v>
          </cell>
        </row>
        <row r="996">
          <cell r="O996">
            <v>10</v>
          </cell>
          <cell r="P996">
            <v>0</v>
          </cell>
          <cell r="Q996">
            <v>0</v>
          </cell>
          <cell r="R996">
            <v>10</v>
          </cell>
          <cell r="S996">
            <v>50</v>
          </cell>
        </row>
        <row r="997">
          <cell r="O997">
            <v>40</v>
          </cell>
          <cell r="P997">
            <v>0</v>
          </cell>
          <cell r="Q997">
            <v>0</v>
          </cell>
          <cell r="R997">
            <v>0</v>
          </cell>
          <cell r="S997">
            <v>50</v>
          </cell>
        </row>
        <row r="998">
          <cell r="O998">
            <v>0</v>
          </cell>
          <cell r="P998">
            <v>0</v>
          </cell>
          <cell r="Q998">
            <v>10</v>
          </cell>
          <cell r="R998">
            <v>10</v>
          </cell>
          <cell r="S998">
            <v>60</v>
          </cell>
        </row>
        <row r="999">
          <cell r="O999">
            <v>20</v>
          </cell>
          <cell r="P999">
            <v>0</v>
          </cell>
          <cell r="Q999">
            <v>0</v>
          </cell>
          <cell r="R999">
            <v>20</v>
          </cell>
          <cell r="S999">
            <v>20</v>
          </cell>
        </row>
        <row r="1000">
          <cell r="O1000">
            <v>70</v>
          </cell>
          <cell r="P1000">
            <v>10</v>
          </cell>
          <cell r="Q1000">
            <v>0</v>
          </cell>
          <cell r="R1000">
            <v>0</v>
          </cell>
          <cell r="S1000">
            <v>30</v>
          </cell>
        </row>
        <row r="1001">
          <cell r="O1001">
            <v>30</v>
          </cell>
          <cell r="P1001">
            <v>0</v>
          </cell>
          <cell r="Q1001">
            <v>20</v>
          </cell>
          <cell r="R1001">
            <v>60</v>
          </cell>
          <cell r="S1001">
            <v>0</v>
          </cell>
        </row>
        <row r="1002">
          <cell r="O1002">
            <v>30</v>
          </cell>
          <cell r="P1002">
            <v>20</v>
          </cell>
          <cell r="Q1002">
            <v>0</v>
          </cell>
          <cell r="R1002">
            <v>20</v>
          </cell>
          <cell r="S1002">
            <v>30</v>
          </cell>
        </row>
        <row r="1003">
          <cell r="O1003">
            <v>0</v>
          </cell>
          <cell r="P1003">
            <v>0</v>
          </cell>
          <cell r="Q1003">
            <v>20</v>
          </cell>
          <cell r="R1003">
            <v>0</v>
          </cell>
          <cell r="S1003">
            <v>0</v>
          </cell>
        </row>
        <row r="1004">
          <cell r="O1004" t="str">
            <v>See Cosmetics Sheet</v>
          </cell>
        </row>
        <row r="1005">
          <cell r="O1005">
            <v>20</v>
          </cell>
          <cell r="P1005">
            <v>0</v>
          </cell>
          <cell r="Q1005">
            <v>20</v>
          </cell>
          <cell r="R1005">
            <v>20</v>
          </cell>
          <cell r="S1005">
            <v>40</v>
          </cell>
        </row>
        <row r="1006">
          <cell r="O1006">
            <v>0</v>
          </cell>
          <cell r="P1006">
            <v>0</v>
          </cell>
          <cell r="Q1006">
            <v>10</v>
          </cell>
          <cell r="R1006">
            <v>0</v>
          </cell>
          <cell r="S1006">
            <v>10</v>
          </cell>
        </row>
        <row r="1007">
          <cell r="O1007">
            <v>0</v>
          </cell>
          <cell r="P1007">
            <v>10</v>
          </cell>
          <cell r="Q1007">
            <v>40</v>
          </cell>
          <cell r="R1007">
            <v>10</v>
          </cell>
          <cell r="S1007">
            <v>10</v>
          </cell>
        </row>
        <row r="1008">
          <cell r="O1008">
            <v>0</v>
          </cell>
          <cell r="P1008">
            <v>60</v>
          </cell>
          <cell r="Q1008">
            <v>10</v>
          </cell>
          <cell r="R1008">
            <v>0</v>
          </cell>
          <cell r="S1008">
            <v>0</v>
          </cell>
        </row>
        <row r="1009">
          <cell r="O1009">
            <v>0</v>
          </cell>
          <cell r="P1009">
            <v>0</v>
          </cell>
          <cell r="Q1009">
            <v>20</v>
          </cell>
          <cell r="R1009">
            <v>0</v>
          </cell>
          <cell r="S1009">
            <v>50</v>
          </cell>
        </row>
        <row r="1010">
          <cell r="O1010">
            <v>0</v>
          </cell>
          <cell r="P1010">
            <v>0</v>
          </cell>
          <cell r="Q1010">
            <v>40</v>
          </cell>
          <cell r="R1010">
            <v>10</v>
          </cell>
          <cell r="S1010">
            <v>10</v>
          </cell>
        </row>
        <row r="1012">
          <cell r="O1012">
            <v>0</v>
          </cell>
          <cell r="P1012">
            <v>20</v>
          </cell>
          <cell r="Q1012">
            <v>20</v>
          </cell>
          <cell r="R1012">
            <v>10</v>
          </cell>
          <cell r="S1012">
            <v>0</v>
          </cell>
        </row>
        <row r="1013">
          <cell r="O1013">
            <v>0</v>
          </cell>
          <cell r="P1013">
            <v>0</v>
          </cell>
          <cell r="Q1013">
            <v>10</v>
          </cell>
          <cell r="R1013">
            <v>20</v>
          </cell>
          <cell r="S1013">
            <v>20</v>
          </cell>
        </row>
        <row r="1014">
          <cell r="O1014">
            <v>0</v>
          </cell>
          <cell r="P1014">
            <v>0</v>
          </cell>
          <cell r="Q1014">
            <v>50</v>
          </cell>
          <cell r="R1014">
            <v>0</v>
          </cell>
          <cell r="S1014">
            <v>20</v>
          </cell>
        </row>
        <row r="1015">
          <cell r="O1015">
            <v>10</v>
          </cell>
          <cell r="P1015">
            <v>0</v>
          </cell>
          <cell r="Q1015">
            <v>20</v>
          </cell>
          <cell r="R1015">
            <v>0</v>
          </cell>
          <cell r="S1015">
            <v>20</v>
          </cell>
        </row>
        <row r="1016">
          <cell r="O1016">
            <v>30</v>
          </cell>
          <cell r="P1016">
            <v>0</v>
          </cell>
          <cell r="Q1016">
            <v>0</v>
          </cell>
          <cell r="R1016">
            <v>0</v>
          </cell>
          <cell r="S1016">
            <v>50</v>
          </cell>
        </row>
        <row r="1017">
          <cell r="O1017">
            <v>30</v>
          </cell>
          <cell r="P1017">
            <v>0</v>
          </cell>
          <cell r="Q1017">
            <v>30</v>
          </cell>
          <cell r="R1017">
            <v>0</v>
          </cell>
          <cell r="S1017">
            <v>0</v>
          </cell>
        </row>
        <row r="1018">
          <cell r="O1018">
            <v>0</v>
          </cell>
          <cell r="P1018">
            <v>0</v>
          </cell>
          <cell r="Q1018">
            <v>30</v>
          </cell>
          <cell r="R1018">
            <v>30</v>
          </cell>
          <cell r="S1018">
            <v>0</v>
          </cell>
        </row>
        <row r="1019">
          <cell r="O1019">
            <v>30</v>
          </cell>
          <cell r="P1019">
            <v>0</v>
          </cell>
          <cell r="Q1019">
            <v>0</v>
          </cell>
          <cell r="R1019">
            <v>0</v>
          </cell>
          <cell r="S1019">
            <v>30</v>
          </cell>
        </row>
        <row r="1020">
          <cell r="O1020">
            <v>0</v>
          </cell>
          <cell r="P1020">
            <v>0</v>
          </cell>
          <cell r="Q1020">
            <v>0</v>
          </cell>
          <cell r="R1020">
            <v>30</v>
          </cell>
          <cell r="S1020">
            <v>30</v>
          </cell>
        </row>
        <row r="1021">
          <cell r="O1021">
            <v>20</v>
          </cell>
          <cell r="P1021">
            <v>30</v>
          </cell>
          <cell r="Q1021">
            <v>0</v>
          </cell>
          <cell r="R1021">
            <v>10</v>
          </cell>
          <cell r="S1021">
            <v>50</v>
          </cell>
        </row>
        <row r="1022">
          <cell r="O1022">
            <v>0</v>
          </cell>
          <cell r="P1022">
            <v>0</v>
          </cell>
          <cell r="Q1022">
            <v>20</v>
          </cell>
          <cell r="R1022">
            <v>20</v>
          </cell>
          <cell r="S1022">
            <v>0</v>
          </cell>
        </row>
        <row r="1023">
          <cell r="O1023">
            <v>20</v>
          </cell>
          <cell r="P1023">
            <v>10</v>
          </cell>
          <cell r="Q1023">
            <v>20</v>
          </cell>
          <cell r="R1023">
            <v>20</v>
          </cell>
          <cell r="S1023">
            <v>0</v>
          </cell>
        </row>
        <row r="1024">
          <cell r="O1024">
            <v>40</v>
          </cell>
          <cell r="P1024">
            <v>20</v>
          </cell>
          <cell r="Q1024">
            <v>10</v>
          </cell>
          <cell r="R1024">
            <v>50</v>
          </cell>
          <cell r="S1024">
            <v>0</v>
          </cell>
        </row>
        <row r="1025">
          <cell r="O1025">
            <v>50</v>
          </cell>
          <cell r="P1025">
            <v>30</v>
          </cell>
          <cell r="Q1025">
            <v>0</v>
          </cell>
          <cell r="R1025">
            <v>0</v>
          </cell>
          <cell r="S1025">
            <v>40</v>
          </cell>
        </row>
        <row r="1026">
          <cell r="O1026">
            <v>90</v>
          </cell>
          <cell r="P1026">
            <v>30</v>
          </cell>
          <cell r="Q1026">
            <v>0</v>
          </cell>
          <cell r="R1026">
            <v>0</v>
          </cell>
          <cell r="S1026">
            <v>40</v>
          </cell>
        </row>
        <row r="1027">
          <cell r="O1027">
            <v>50</v>
          </cell>
          <cell r="P1027">
            <v>30</v>
          </cell>
          <cell r="Q1027">
            <v>0</v>
          </cell>
          <cell r="R1027">
            <v>0</v>
          </cell>
          <cell r="S1027">
            <v>40</v>
          </cell>
        </row>
        <row r="1028">
          <cell r="O1028">
            <v>50</v>
          </cell>
          <cell r="P1028">
            <v>30</v>
          </cell>
          <cell r="Q1028">
            <v>0</v>
          </cell>
          <cell r="R1028">
            <v>0</v>
          </cell>
          <cell r="S1028">
            <v>80</v>
          </cell>
        </row>
        <row r="1029">
          <cell r="O1029">
            <v>60</v>
          </cell>
          <cell r="P1029">
            <v>40</v>
          </cell>
          <cell r="Q1029">
            <v>0</v>
          </cell>
          <cell r="R1029">
            <v>0</v>
          </cell>
          <cell r="S1029">
            <v>60</v>
          </cell>
        </row>
        <row r="1030">
          <cell r="O1030">
            <v>50</v>
          </cell>
          <cell r="P1030">
            <v>0</v>
          </cell>
          <cell r="Q1030">
            <v>10</v>
          </cell>
          <cell r="R1030">
            <v>30</v>
          </cell>
          <cell r="S1030">
            <v>30</v>
          </cell>
        </row>
      </sheetData>
      <sheetData sheetId="4"/>
      <sheetData sheetId="5">
        <row r="1">
          <cell r="F1" t="str">
            <v>Contest</v>
          </cell>
        </row>
        <row r="2">
          <cell r="F2" t="str">
            <v>Cute</v>
          </cell>
        </row>
        <row r="3">
          <cell r="F3" t="str">
            <v>Cute</v>
          </cell>
        </row>
        <row r="4">
          <cell r="F4" t="str">
            <v>Cute</v>
          </cell>
        </row>
        <row r="5">
          <cell r="F5" t="str">
            <v>Clever</v>
          </cell>
        </row>
        <row r="6">
          <cell r="F6" t="str">
            <v>Clever</v>
          </cell>
        </row>
        <row r="7">
          <cell r="F7" t="str">
            <v>Beautiful</v>
          </cell>
        </row>
        <row r="8">
          <cell r="F8" t="str">
            <v>Beautiful</v>
          </cell>
        </row>
        <row r="9">
          <cell r="F9" t="str">
            <v>Cool</v>
          </cell>
        </row>
        <row r="10">
          <cell r="F10" t="str">
            <v>Tough</v>
          </cell>
        </row>
        <row r="11">
          <cell r="F11" t="str">
            <v>Tough</v>
          </cell>
        </row>
        <row r="12">
          <cell r="F12" t="str">
            <v>Cool</v>
          </cell>
        </row>
        <row r="13">
          <cell r="F13" t="str">
            <v>Tough</v>
          </cell>
        </row>
        <row r="14">
          <cell r="F14" t="str">
            <v>Tough</v>
          </cell>
        </row>
        <row r="15">
          <cell r="F15" t="str">
            <v>Tough</v>
          </cell>
        </row>
        <row r="16">
          <cell r="F16" t="str">
            <v>Cool</v>
          </cell>
        </row>
        <row r="17">
          <cell r="F17" t="str">
            <v>Clever</v>
          </cell>
        </row>
        <row r="18">
          <cell r="F18" t="str">
            <v>Cute</v>
          </cell>
        </row>
        <row r="19">
          <cell r="F19" t="str">
            <v>Cool</v>
          </cell>
        </row>
        <row r="20">
          <cell r="F20" t="str">
            <v>Clever</v>
          </cell>
        </row>
        <row r="21">
          <cell r="F21" t="str">
            <v>Cute</v>
          </cell>
        </row>
        <row r="22">
          <cell r="F22" t="str">
            <v>Beautiful</v>
          </cell>
        </row>
        <row r="23">
          <cell r="F23" t="str">
            <v>Clever</v>
          </cell>
        </row>
        <row r="24">
          <cell r="F24" t="str">
            <v>Cool</v>
          </cell>
        </row>
        <row r="25">
          <cell r="F25" t="str">
            <v>Tough</v>
          </cell>
        </row>
        <row r="26">
          <cell r="F26" t="str">
            <v>Clever</v>
          </cell>
        </row>
        <row r="27">
          <cell r="F27" t="str">
            <v>Tough</v>
          </cell>
        </row>
        <row r="28">
          <cell r="F28" t="str">
            <v>Tough</v>
          </cell>
        </row>
        <row r="29">
          <cell r="F29" t="str">
            <v>Tough</v>
          </cell>
        </row>
        <row r="30">
          <cell r="F30" t="str">
            <v>Beautiful</v>
          </cell>
        </row>
        <row r="31">
          <cell r="F31" t="str">
            <v>Clever</v>
          </cell>
        </row>
        <row r="32">
          <cell r="F32" t="str">
            <v>Cool</v>
          </cell>
        </row>
      </sheetData>
      <sheetData sheetId="6">
        <row r="1">
          <cell r="F1" t="str">
            <v>Contest</v>
          </cell>
        </row>
        <row r="2">
          <cell r="F2" t="str">
            <v>Clever</v>
          </cell>
        </row>
        <row r="3">
          <cell r="F3" t="str">
            <v>Tough</v>
          </cell>
        </row>
        <row r="4">
          <cell r="F4" t="str">
            <v>Clever</v>
          </cell>
        </row>
        <row r="5">
          <cell r="F5" t="str">
            <v>Tough</v>
          </cell>
        </row>
        <row r="6">
          <cell r="F6" t="str">
            <v>Beautiful</v>
          </cell>
        </row>
        <row r="7">
          <cell r="F7" t="str">
            <v>Cool</v>
          </cell>
        </row>
        <row r="8">
          <cell r="F8" t="str">
            <v>Cool</v>
          </cell>
        </row>
        <row r="9">
          <cell r="F9" t="str">
            <v>Cool</v>
          </cell>
        </row>
        <row r="10">
          <cell r="F10" t="str">
            <v>Cool</v>
          </cell>
        </row>
        <row r="11">
          <cell r="F11" t="str">
            <v>Cute</v>
          </cell>
        </row>
        <row r="12">
          <cell r="F12" t="str">
            <v>Cool</v>
          </cell>
        </row>
        <row r="13">
          <cell r="F13" t="str">
            <v>Cool</v>
          </cell>
        </row>
        <row r="14">
          <cell r="F14" t="str">
            <v>Cool</v>
          </cell>
        </row>
        <row r="15">
          <cell r="F15" t="str">
            <v>Clever</v>
          </cell>
        </row>
        <row r="16">
          <cell r="F16" t="str">
            <v>Cute</v>
          </cell>
        </row>
        <row r="17">
          <cell r="F17" t="str">
            <v>Tough</v>
          </cell>
        </row>
        <row r="18">
          <cell r="F18" t="str">
            <v>Tough</v>
          </cell>
        </row>
        <row r="19">
          <cell r="F19" t="str">
            <v>Beautiful</v>
          </cell>
        </row>
        <row r="20">
          <cell r="F20" t="str">
            <v>Beautiful</v>
          </cell>
        </row>
        <row r="21">
          <cell r="F21" t="str">
            <v>Cute</v>
          </cell>
        </row>
        <row r="22">
          <cell r="F22" t="str">
            <v>Tough</v>
          </cell>
        </row>
        <row r="23">
          <cell r="F23" t="str">
            <v>Clever</v>
          </cell>
        </row>
        <row r="24">
          <cell r="F24" t="str">
            <v>Beautiful</v>
          </cell>
        </row>
        <row r="25">
          <cell r="F25" t="str">
            <v>Cute</v>
          </cell>
        </row>
        <row r="26">
          <cell r="F26" t="str">
            <v>Beautiful</v>
          </cell>
        </row>
        <row r="27">
          <cell r="F27" t="str">
            <v>Clever</v>
          </cell>
        </row>
        <row r="28">
          <cell r="F28" t="str">
            <v>Clever</v>
          </cell>
        </row>
        <row r="29">
          <cell r="F29" t="str">
            <v>Cute</v>
          </cell>
        </row>
        <row r="30">
          <cell r="F30" t="str">
            <v>Beautiful</v>
          </cell>
        </row>
        <row r="31">
          <cell r="F31" t="str">
            <v>Cute</v>
          </cell>
        </row>
        <row r="32">
          <cell r="F32" t="str">
            <v>Beautiful</v>
          </cell>
        </row>
        <row r="33">
          <cell r="F33" t="str">
            <v>Beautiful</v>
          </cell>
        </row>
        <row r="34">
          <cell r="F34" t="str">
            <v>Beautiful</v>
          </cell>
        </row>
        <row r="35">
          <cell r="F35" t="str">
            <v>Cool</v>
          </cell>
        </row>
        <row r="36">
          <cell r="F36" t="str">
            <v>Cute</v>
          </cell>
        </row>
        <row r="37">
          <cell r="F37" t="str">
            <v>Tough</v>
          </cell>
        </row>
        <row r="38">
          <cell r="F38" t="str">
            <v>Cool</v>
          </cell>
        </row>
        <row r="39">
          <cell r="F39" t="str">
            <v>Cute</v>
          </cell>
        </row>
        <row r="40">
          <cell r="F40" t="str">
            <v>Cool</v>
          </cell>
        </row>
        <row r="41">
          <cell r="F41" t="str">
            <v>Clever</v>
          </cell>
        </row>
        <row r="42">
          <cell r="F42" t="str">
            <v>Tough</v>
          </cell>
        </row>
        <row r="43">
          <cell r="F43" t="str">
            <v>Cool</v>
          </cell>
        </row>
        <row r="44">
          <cell r="F44" t="str">
            <v>Tough</v>
          </cell>
        </row>
        <row r="45">
          <cell r="F45" t="str">
            <v>Cute</v>
          </cell>
        </row>
        <row r="46">
          <cell r="F46" t="str">
            <v>Cute</v>
          </cell>
        </row>
        <row r="47">
          <cell r="F47" t="str">
            <v>Tough</v>
          </cell>
        </row>
        <row r="48">
          <cell r="F48" t="str">
            <v>Tough</v>
          </cell>
        </row>
        <row r="49">
          <cell r="F49" t="str">
            <v>Tough</v>
          </cell>
        </row>
        <row r="50">
          <cell r="F50" t="str">
            <v>Beautiful</v>
          </cell>
        </row>
        <row r="51">
          <cell r="F51" t="str">
            <v>Beautiful</v>
          </cell>
        </row>
        <row r="52">
          <cell r="F52" t="str">
            <v>Beautiful</v>
          </cell>
        </row>
        <row r="53">
          <cell r="F53" t="str">
            <v>Cute</v>
          </cell>
        </row>
        <row r="54">
          <cell r="F54" t="str">
            <v>Beautiful</v>
          </cell>
        </row>
        <row r="55">
          <cell r="F55" t="str">
            <v>Tough</v>
          </cell>
        </row>
        <row r="56">
          <cell r="F56" t="str">
            <v>Tough</v>
          </cell>
        </row>
        <row r="57">
          <cell r="F57" t="str">
            <v>Tough</v>
          </cell>
        </row>
        <row r="58">
          <cell r="F58" t="str">
            <v>Beautiful</v>
          </cell>
        </row>
        <row r="59">
          <cell r="F59" t="str">
            <v>Tough</v>
          </cell>
        </row>
        <row r="60">
          <cell r="F60" t="str">
            <v>Tough</v>
          </cell>
        </row>
        <row r="61">
          <cell r="F61" t="str">
            <v>Tough</v>
          </cell>
        </row>
        <row r="62">
          <cell r="F62" t="str">
            <v>Tough</v>
          </cell>
        </row>
        <row r="63">
          <cell r="F63" t="str">
            <v>Cute</v>
          </cell>
        </row>
        <row r="64">
          <cell r="F64" t="str">
            <v>Cute</v>
          </cell>
        </row>
        <row r="66">
          <cell r="F66" t="str">
            <v>Cool</v>
          </cell>
        </row>
        <row r="67">
          <cell r="F67" t="str">
            <v>Clever</v>
          </cell>
        </row>
        <row r="68">
          <cell r="F68" t="str">
            <v>Tough</v>
          </cell>
        </row>
        <row r="69">
          <cell r="F69" t="str">
            <v>Cute</v>
          </cell>
        </row>
        <row r="70">
          <cell r="F70" t="str">
            <v>Beautiful</v>
          </cell>
        </row>
        <row r="71">
          <cell r="F71" t="str">
            <v>Tough</v>
          </cell>
        </row>
        <row r="72">
          <cell r="F72" t="str">
            <v>Cute</v>
          </cell>
        </row>
        <row r="73">
          <cell r="F73" t="str">
            <v>Beautiful</v>
          </cell>
        </row>
        <row r="74">
          <cell r="F74" t="str">
            <v>Tough</v>
          </cell>
        </row>
        <row r="75">
          <cell r="F75" t="str">
            <v>Clever</v>
          </cell>
        </row>
        <row r="76">
          <cell r="F76" t="str">
            <v>Cool</v>
          </cell>
        </row>
        <row r="77">
          <cell r="F77" t="str">
            <v>Clever</v>
          </cell>
        </row>
        <row r="78">
          <cell r="F78" t="str">
            <v>Clever</v>
          </cell>
        </row>
        <row r="79">
          <cell r="F79" t="str">
            <v>Clever</v>
          </cell>
        </row>
        <row r="80">
          <cell r="F80" t="str">
            <v>Beautiful</v>
          </cell>
        </row>
        <row r="81">
          <cell r="F81" t="str">
            <v>Clever</v>
          </cell>
        </row>
        <row r="82">
          <cell r="F82" t="str">
            <v>Beautiful</v>
          </cell>
        </row>
        <row r="83">
          <cell r="F83" t="str">
            <v>Cute</v>
          </cell>
        </row>
        <row r="84">
          <cell r="F84" t="str">
            <v>Clever</v>
          </cell>
        </row>
        <row r="85">
          <cell r="F85" t="str">
            <v>Tough</v>
          </cell>
        </row>
        <row r="86">
          <cell r="F86" t="str">
            <v>Cool</v>
          </cell>
        </row>
        <row r="87">
          <cell r="F87" t="str">
            <v>Tough</v>
          </cell>
        </row>
        <row r="88">
          <cell r="F88" t="str">
            <v>Beautiful</v>
          </cell>
        </row>
        <row r="89">
          <cell r="F89" t="str">
            <v>Beautiful</v>
          </cell>
        </row>
        <row r="90">
          <cell r="F90" t="str">
            <v>Clever</v>
          </cell>
        </row>
        <row r="91">
          <cell r="F91" t="str">
            <v>Tough</v>
          </cell>
        </row>
        <row r="92">
          <cell r="F92" t="str">
            <v>Tough</v>
          </cell>
        </row>
        <row r="93">
          <cell r="F93" t="str">
            <v>Tough</v>
          </cell>
        </row>
        <row r="94">
          <cell r="F94" t="str">
            <v>Cute</v>
          </cell>
        </row>
        <row r="95">
          <cell r="F95" t="str">
            <v>Clever</v>
          </cell>
        </row>
        <row r="96">
          <cell r="F96" t="str">
            <v>Clever</v>
          </cell>
        </row>
        <row r="97">
          <cell r="F97" t="str">
            <v>Tough</v>
          </cell>
        </row>
        <row r="98">
          <cell r="F98" t="str">
            <v>Beautiful</v>
          </cell>
        </row>
        <row r="99">
          <cell r="F99" t="str">
            <v>Beautiful</v>
          </cell>
        </row>
        <row r="100">
          <cell r="F100" t="str">
            <v>Cool</v>
          </cell>
        </row>
        <row r="101">
          <cell r="F101" t="str">
            <v>Cool</v>
          </cell>
        </row>
        <row r="102">
          <cell r="F102" t="str">
            <v>Cool</v>
          </cell>
        </row>
        <row r="103">
          <cell r="F103" t="str">
            <v>Cute</v>
          </cell>
        </row>
        <row r="104">
          <cell r="F104" t="str">
            <v>Beautiful</v>
          </cell>
        </row>
        <row r="105">
          <cell r="F105" t="str">
            <v>Tough</v>
          </cell>
        </row>
        <row r="106">
          <cell r="F106" t="str">
            <v>Clever</v>
          </cell>
        </row>
        <row r="107">
          <cell r="F107" t="str">
            <v>Cute</v>
          </cell>
        </row>
        <row r="108">
          <cell r="F108" t="str">
            <v>Tough</v>
          </cell>
        </row>
        <row r="109">
          <cell r="F109" t="str">
            <v>Clever</v>
          </cell>
        </row>
        <row r="110">
          <cell r="F110" t="str">
            <v>Cool</v>
          </cell>
        </row>
        <row r="111">
          <cell r="F111" t="str">
            <v>Cool</v>
          </cell>
        </row>
        <row r="112">
          <cell r="F112" t="str">
            <v>Tough</v>
          </cell>
        </row>
        <row r="113">
          <cell r="F113" t="str">
            <v>Cool</v>
          </cell>
        </row>
        <row r="114">
          <cell r="F114" t="str">
            <v>Tough</v>
          </cell>
        </row>
        <row r="115">
          <cell r="F115" t="str">
            <v>Tough</v>
          </cell>
        </row>
        <row r="116">
          <cell r="F116" t="str">
            <v>Cool</v>
          </cell>
        </row>
        <row r="117">
          <cell r="F117" t="str">
            <v>Cool</v>
          </cell>
        </row>
        <row r="118">
          <cell r="F118" t="str">
            <v>Clever</v>
          </cell>
        </row>
        <row r="119">
          <cell r="F119" t="str">
            <v>Tough</v>
          </cell>
        </row>
        <row r="120">
          <cell r="F120" t="str">
            <v>Beautiful</v>
          </cell>
        </row>
        <row r="121">
          <cell r="F121" t="str">
            <v>Clever</v>
          </cell>
        </row>
        <row r="122">
          <cell r="F122" t="str">
            <v>Cute</v>
          </cell>
        </row>
        <row r="123">
          <cell r="F123" t="str">
            <v>Beautiful</v>
          </cell>
        </row>
        <row r="124">
          <cell r="F124" t="str">
            <v>Clever</v>
          </cell>
        </row>
        <row r="125">
          <cell r="F125" t="str">
            <v>Cool</v>
          </cell>
        </row>
        <row r="126">
          <cell r="F126" t="str">
            <v>Beautiful</v>
          </cell>
        </row>
        <row r="127">
          <cell r="F127" t="str">
            <v>Clever</v>
          </cell>
        </row>
        <row r="128">
          <cell r="F128" t="str">
            <v>Clever</v>
          </cell>
        </row>
        <row r="129">
          <cell r="F129" t="str">
            <v>Cute</v>
          </cell>
        </row>
        <row r="130">
          <cell r="F130" t="str">
            <v>Cool</v>
          </cell>
        </row>
        <row r="131">
          <cell r="F131" t="str">
            <v>Beautiful</v>
          </cell>
        </row>
        <row r="132">
          <cell r="F132" t="str">
            <v>Cool</v>
          </cell>
        </row>
        <row r="133">
          <cell r="F133" t="str">
            <v>Cool</v>
          </cell>
        </row>
        <row r="134">
          <cell r="F134" t="str">
            <v>Clever</v>
          </cell>
        </row>
        <row r="135">
          <cell r="F135" t="str">
            <v>Tough</v>
          </cell>
        </row>
        <row r="136">
          <cell r="F136" t="str">
            <v>Cool</v>
          </cell>
        </row>
        <row r="137">
          <cell r="F137" t="str">
            <v>Tough</v>
          </cell>
        </row>
        <row r="138">
          <cell r="F138" t="str">
            <v>Cool</v>
          </cell>
        </row>
        <row r="139">
          <cell r="F139" t="str">
            <v>Tough</v>
          </cell>
        </row>
        <row r="140">
          <cell r="F140" t="str">
            <v>Clever</v>
          </cell>
        </row>
        <row r="141">
          <cell r="F141" t="str">
            <v>Beautiful</v>
          </cell>
        </row>
        <row r="142">
          <cell r="F142" t="str">
            <v>Cool</v>
          </cell>
        </row>
        <row r="143">
          <cell r="F143" t="str">
            <v>Cool</v>
          </cell>
        </row>
        <row r="144">
          <cell r="F144" t="str">
            <v>Cool</v>
          </cell>
        </row>
        <row r="145">
          <cell r="F145" t="str">
            <v>Cute</v>
          </cell>
        </row>
        <row r="146">
          <cell r="F146" t="str">
            <v>Tough</v>
          </cell>
        </row>
        <row r="147">
          <cell r="F147" t="str">
            <v>Clever</v>
          </cell>
        </row>
        <row r="148">
          <cell r="F148" t="str">
            <v>Cool</v>
          </cell>
        </row>
        <row r="149">
          <cell r="F149" t="str">
            <v>Cool</v>
          </cell>
        </row>
        <row r="150">
          <cell r="F150" t="str">
            <v>Tough</v>
          </cell>
        </row>
        <row r="151">
          <cell r="F151" t="str">
            <v>Beautiful</v>
          </cell>
        </row>
        <row r="152">
          <cell r="F152" t="str">
            <v>Cute</v>
          </cell>
        </row>
        <row r="153">
          <cell r="F153" t="str">
            <v>Clever</v>
          </cell>
        </row>
        <row r="154">
          <cell r="F154" t="str">
            <v>Cool</v>
          </cell>
        </row>
        <row r="155">
          <cell r="F155" t="str">
            <v>Tough</v>
          </cell>
        </row>
        <row r="156">
          <cell r="F156" t="str">
            <v>Tough</v>
          </cell>
        </row>
        <row r="157">
          <cell r="F157" t="str">
            <v>Tough</v>
          </cell>
        </row>
        <row r="158">
          <cell r="F158" t="str">
            <v>Beautiful</v>
          </cell>
        </row>
        <row r="159">
          <cell r="F159" t="str">
            <v>Cool</v>
          </cell>
        </row>
        <row r="160">
          <cell r="F160" t="str">
            <v>Clever</v>
          </cell>
        </row>
        <row r="161">
          <cell r="F161" t="str">
            <v>Tough</v>
          </cell>
        </row>
        <row r="162">
          <cell r="F162" t="str">
            <v>Beautiful</v>
          </cell>
        </row>
        <row r="163">
          <cell r="F163" t="str">
            <v>Clever</v>
          </cell>
        </row>
        <row r="164">
          <cell r="F164" t="str">
            <v>Tough</v>
          </cell>
        </row>
        <row r="165">
          <cell r="F165" t="str">
            <v>Clever</v>
          </cell>
        </row>
        <row r="166">
          <cell r="F166" t="str">
            <v>Clever</v>
          </cell>
        </row>
        <row r="167">
          <cell r="F167" t="str">
            <v>Cool</v>
          </cell>
        </row>
        <row r="168">
          <cell r="F168" t="str">
            <v>Beautiful</v>
          </cell>
        </row>
        <row r="169">
          <cell r="F169" t="str">
            <v>Cute</v>
          </cell>
        </row>
        <row r="170">
          <cell r="F170" t="str">
            <v>Beautiful</v>
          </cell>
        </row>
        <row r="171">
          <cell r="F171" t="str">
            <v>Cute</v>
          </cell>
        </row>
        <row r="172">
          <cell r="F172" t="str">
            <v>Tough</v>
          </cell>
        </row>
        <row r="173">
          <cell r="F173" t="str">
            <v>Tough</v>
          </cell>
        </row>
        <row r="174">
          <cell r="F174" t="str">
            <v>Beautiful</v>
          </cell>
        </row>
        <row r="175">
          <cell r="F175" t="str">
            <v>Cute</v>
          </cell>
        </row>
        <row r="176">
          <cell r="F176" t="str">
            <v>Beautiful</v>
          </cell>
        </row>
        <row r="177">
          <cell r="F177" t="str">
            <v>Beautiful</v>
          </cell>
        </row>
        <row r="178">
          <cell r="F178" t="str">
            <v>Beautiful</v>
          </cell>
        </row>
        <row r="179">
          <cell r="F179" t="str">
            <v>Cool</v>
          </cell>
        </row>
        <row r="180">
          <cell r="F180" t="str">
            <v>Cool</v>
          </cell>
        </row>
        <row r="181">
          <cell r="F181" t="str">
            <v>Cute</v>
          </cell>
        </row>
        <row r="182">
          <cell r="F182" t="str">
            <v>Clever</v>
          </cell>
        </row>
        <row r="183">
          <cell r="F183" t="str">
            <v>Beautiful</v>
          </cell>
        </row>
        <row r="184">
          <cell r="F184" t="str">
            <v>Cute</v>
          </cell>
        </row>
        <row r="185">
          <cell r="F185" t="str">
            <v>Clever</v>
          </cell>
        </row>
        <row r="186">
          <cell r="F186" t="str">
            <v>Cool</v>
          </cell>
        </row>
        <row r="187">
          <cell r="F187" t="str">
            <v>Beautiful</v>
          </cell>
        </row>
        <row r="188">
          <cell r="F188" t="str">
            <v>Beautiful</v>
          </cell>
        </row>
        <row r="189">
          <cell r="F189" t="str">
            <v>Clever</v>
          </cell>
        </row>
        <row r="190">
          <cell r="F190" t="str">
            <v>Cool</v>
          </cell>
        </row>
        <row r="191">
          <cell r="F191" t="str">
            <v>Beautiful</v>
          </cell>
        </row>
        <row r="192">
          <cell r="F192" t="str">
            <v>Tough</v>
          </cell>
        </row>
        <row r="193">
          <cell r="F193" t="str">
            <v>Beautiful</v>
          </cell>
        </row>
        <row r="194">
          <cell r="F194" t="str">
            <v>Beautiful</v>
          </cell>
        </row>
        <row r="195">
          <cell r="F195" t="str">
            <v>Beautiful</v>
          </cell>
        </row>
        <row r="196">
          <cell r="F196" t="str">
            <v>Beautiful</v>
          </cell>
        </row>
        <row r="197">
          <cell r="F197" t="str">
            <v>Beautiful</v>
          </cell>
        </row>
        <row r="198">
          <cell r="F198" t="str">
            <v>Beautiful</v>
          </cell>
        </row>
        <row r="199">
          <cell r="F199" t="str">
            <v>Cute</v>
          </cell>
        </row>
        <row r="200">
          <cell r="F200" t="str">
            <v>Tough</v>
          </cell>
        </row>
        <row r="201">
          <cell r="F201" t="str">
            <v>Tough</v>
          </cell>
        </row>
        <row r="202">
          <cell r="F202" t="str">
            <v>Cute</v>
          </cell>
        </row>
        <row r="203">
          <cell r="F203" t="str">
            <v>Beautiful</v>
          </cell>
        </row>
        <row r="204">
          <cell r="F204" t="str">
            <v>Cool</v>
          </cell>
        </row>
        <row r="205">
          <cell r="F205" t="str">
            <v>Beautiful</v>
          </cell>
        </row>
        <row r="206">
          <cell r="F206" t="str">
            <v>Beautiful</v>
          </cell>
        </row>
        <row r="207">
          <cell r="F207" t="str">
            <v>Clever</v>
          </cell>
        </row>
        <row r="208">
          <cell r="F208" t="str">
            <v>Beautiful</v>
          </cell>
        </row>
        <row r="209">
          <cell r="F209" t="str">
            <v>Clever</v>
          </cell>
        </row>
        <row r="210">
          <cell r="F210" t="str">
            <v>Clever</v>
          </cell>
        </row>
        <row r="211">
          <cell r="F211" t="str">
            <v>Beautiful</v>
          </cell>
        </row>
        <row r="212">
          <cell r="F212" t="str">
            <v>Tough</v>
          </cell>
        </row>
        <row r="213">
          <cell r="F213" t="str">
            <v>Cute</v>
          </cell>
        </row>
        <row r="214">
          <cell r="F214" t="str">
            <v>Beautiful</v>
          </cell>
        </row>
        <row r="215">
          <cell r="F215" t="str">
            <v>Clever</v>
          </cell>
        </row>
        <row r="216">
          <cell r="F216" t="str">
            <v>Tough</v>
          </cell>
        </row>
        <row r="217">
          <cell r="F217" t="str">
            <v>Cool</v>
          </cell>
        </row>
        <row r="218">
          <cell r="F218" t="str">
            <v>Cool</v>
          </cell>
        </row>
        <row r="219">
          <cell r="F219" t="str">
            <v>Tough</v>
          </cell>
        </row>
        <row r="220">
          <cell r="F220" t="str">
            <v>Cute</v>
          </cell>
        </row>
        <row r="221">
          <cell r="F221" t="str">
            <v>Cool</v>
          </cell>
        </row>
        <row r="222">
          <cell r="F222" t="str">
            <v>Clever</v>
          </cell>
        </row>
        <row r="223">
          <cell r="F223" t="str">
            <v>Clever</v>
          </cell>
        </row>
        <row r="224">
          <cell r="F224" t="str">
            <v>Clever</v>
          </cell>
        </row>
        <row r="225">
          <cell r="F225" t="str">
            <v>Beautiful</v>
          </cell>
        </row>
        <row r="226">
          <cell r="F226" t="str">
            <v>Beautiful</v>
          </cell>
        </row>
        <row r="227">
          <cell r="F227" t="str">
            <v>Cool</v>
          </cell>
        </row>
        <row r="228">
          <cell r="F228" t="str">
            <v>Beautiful</v>
          </cell>
        </row>
        <row r="229">
          <cell r="F229" t="str">
            <v>Cute</v>
          </cell>
        </row>
        <row r="230">
          <cell r="F230" t="str">
            <v>Cool</v>
          </cell>
        </row>
        <row r="231">
          <cell r="F231" t="str">
            <v>Cool</v>
          </cell>
        </row>
        <row r="232">
          <cell r="F232" t="str">
            <v>Tough</v>
          </cell>
        </row>
        <row r="233">
          <cell r="F233" t="str">
            <v>Cool</v>
          </cell>
        </row>
        <row r="234">
          <cell r="F234" t="str">
            <v>Beautiful</v>
          </cell>
        </row>
        <row r="235">
          <cell r="F235" t="str">
            <v>Clever</v>
          </cell>
        </row>
        <row r="236">
          <cell r="F236" t="str">
            <v>Beautiful</v>
          </cell>
        </row>
        <row r="237">
          <cell r="F237" t="str">
            <v>Clever</v>
          </cell>
        </row>
        <row r="238">
          <cell r="F238" t="str">
            <v>Clever</v>
          </cell>
        </row>
        <row r="239">
          <cell r="F239" t="str">
            <v>Beautiful</v>
          </cell>
        </row>
        <row r="240">
          <cell r="F240" t="str">
            <v>Clever</v>
          </cell>
        </row>
        <row r="241">
          <cell r="F241" t="str">
            <v>Beautiful</v>
          </cell>
        </row>
        <row r="242">
          <cell r="F242" t="str">
            <v>Beautiful</v>
          </cell>
        </row>
        <row r="243">
          <cell r="F243" t="str">
            <v>Tough</v>
          </cell>
        </row>
        <row r="244">
          <cell r="F244" t="str">
            <v>Clever</v>
          </cell>
        </row>
        <row r="245">
          <cell r="F245" t="str">
            <v>Beautiful</v>
          </cell>
        </row>
        <row r="246">
          <cell r="F246" t="str">
            <v>Clever</v>
          </cell>
        </row>
        <row r="247">
          <cell r="F247" t="str">
            <v>Beautiful</v>
          </cell>
        </row>
        <row r="248">
          <cell r="F248" t="str">
            <v>Beautiful</v>
          </cell>
        </row>
        <row r="249">
          <cell r="F249" t="str">
            <v>Cute</v>
          </cell>
        </row>
        <row r="250">
          <cell r="F250" t="str">
            <v>Beautiful</v>
          </cell>
        </row>
        <row r="251">
          <cell r="F251" t="str">
            <v>Tough</v>
          </cell>
        </row>
        <row r="252">
          <cell r="F252" t="str">
            <v>Clever</v>
          </cell>
        </row>
        <row r="253">
          <cell r="F253" t="str">
            <v>Cute</v>
          </cell>
        </row>
        <row r="254">
          <cell r="F254" t="str">
            <v>Cool</v>
          </cell>
        </row>
        <row r="255">
          <cell r="F255" t="str">
            <v>Cool</v>
          </cell>
        </row>
        <row r="256">
          <cell r="F256" t="str">
            <v>Clever</v>
          </cell>
        </row>
        <row r="257">
          <cell r="F257" t="str">
            <v>Beautiful</v>
          </cell>
        </row>
        <row r="258">
          <cell r="F258" t="str">
            <v>Beautiful</v>
          </cell>
        </row>
        <row r="259">
          <cell r="F259" t="str">
            <v>Cool</v>
          </cell>
        </row>
        <row r="260">
          <cell r="F260" t="str">
            <v>Cute</v>
          </cell>
        </row>
        <row r="261">
          <cell r="F261" t="str">
            <v>Tough</v>
          </cell>
        </row>
        <row r="262">
          <cell r="F262" t="str">
            <v>Beautiful</v>
          </cell>
        </row>
        <row r="263">
          <cell r="F263" t="str">
            <v>Tough</v>
          </cell>
        </row>
        <row r="264">
          <cell r="F264" t="str">
            <v>Tough</v>
          </cell>
        </row>
        <row r="265">
          <cell r="F265" t="str">
            <v>Tough</v>
          </cell>
        </row>
        <row r="266">
          <cell r="F266" t="str">
            <v>Beautiful</v>
          </cell>
        </row>
        <row r="267">
          <cell r="F267" t="str">
            <v>Cute</v>
          </cell>
        </row>
        <row r="268">
          <cell r="F268" t="str">
            <v>Clever</v>
          </cell>
        </row>
        <row r="269">
          <cell r="F269" t="str">
            <v>Beautiful</v>
          </cell>
        </row>
        <row r="270">
          <cell r="F270" t="str">
            <v>Cute</v>
          </cell>
        </row>
        <row r="271">
          <cell r="F271" t="str">
            <v>Cute</v>
          </cell>
        </row>
        <row r="272">
          <cell r="F272" t="str">
            <v>Cool</v>
          </cell>
        </row>
        <row r="273">
          <cell r="F273" t="str">
            <v>Tough</v>
          </cell>
        </row>
        <row r="274">
          <cell r="F274" t="str">
            <v>Beautiful</v>
          </cell>
        </row>
        <row r="275">
          <cell r="F275" t="str">
            <v>Tough</v>
          </cell>
        </row>
        <row r="276">
          <cell r="F276" t="str">
            <v>Clever</v>
          </cell>
        </row>
        <row r="277">
          <cell r="F277" t="str">
            <v>Clever</v>
          </cell>
        </row>
        <row r="278">
          <cell r="F278" t="str">
            <v>Clever</v>
          </cell>
        </row>
        <row r="279">
          <cell r="F279" t="str">
            <v>Tough</v>
          </cell>
        </row>
        <row r="280">
          <cell r="F280" t="str">
            <v>Cool</v>
          </cell>
        </row>
        <row r="281">
          <cell r="F281" t="str">
            <v>Cute</v>
          </cell>
        </row>
        <row r="282">
          <cell r="F282" t="str">
            <v>Cute</v>
          </cell>
        </row>
        <row r="283">
          <cell r="F283" t="str">
            <v>Cool</v>
          </cell>
        </row>
        <row r="284">
          <cell r="F284" t="str">
            <v>Cool</v>
          </cell>
        </row>
        <row r="285">
          <cell r="F285" t="str">
            <v>Tough</v>
          </cell>
        </row>
        <row r="286">
          <cell r="F286" t="str">
            <v>Cool</v>
          </cell>
        </row>
        <row r="287">
          <cell r="F287" t="str">
            <v>Tough</v>
          </cell>
        </row>
        <row r="288">
          <cell r="F288" t="str">
            <v>Beautiful</v>
          </cell>
        </row>
        <row r="289">
          <cell r="F289" t="str">
            <v>Beautiful</v>
          </cell>
        </row>
        <row r="290">
          <cell r="F290" t="str">
            <v>Cool</v>
          </cell>
        </row>
        <row r="291">
          <cell r="F291" t="str">
            <v>Cool</v>
          </cell>
        </row>
        <row r="292">
          <cell r="F292" t="str">
            <v>Cool</v>
          </cell>
        </row>
        <row r="293">
          <cell r="F293" t="str">
            <v>Tough</v>
          </cell>
        </row>
        <row r="294">
          <cell r="F294" t="str">
            <v>Clever</v>
          </cell>
        </row>
        <row r="295">
          <cell r="F295" t="str">
            <v>Clever</v>
          </cell>
        </row>
        <row r="296">
          <cell r="F296" t="str">
            <v>Beautiful</v>
          </cell>
        </row>
        <row r="297">
          <cell r="F297" t="str">
            <v>Beautiful</v>
          </cell>
        </row>
        <row r="298">
          <cell r="F298" t="str">
            <v>Beautiful</v>
          </cell>
        </row>
        <row r="299">
          <cell r="F299" t="str">
            <v>Cool</v>
          </cell>
        </row>
        <row r="300">
          <cell r="F300" t="str">
            <v>Tough</v>
          </cell>
        </row>
        <row r="301">
          <cell r="F301" t="str">
            <v>Beautiful</v>
          </cell>
        </row>
        <row r="302">
          <cell r="F302" t="str">
            <v>Beautiful</v>
          </cell>
        </row>
        <row r="303">
          <cell r="F303" t="str">
            <v>Beautiful</v>
          </cell>
        </row>
        <row r="304">
          <cell r="F304" t="str">
            <v>Beautiful</v>
          </cell>
        </row>
        <row r="305">
          <cell r="F305" t="str">
            <v>Beautiful</v>
          </cell>
        </row>
        <row r="306">
          <cell r="F306" t="str">
            <v>Clever</v>
          </cell>
        </row>
        <row r="307">
          <cell r="F307" t="str">
            <v>Tough</v>
          </cell>
        </row>
        <row r="308">
          <cell r="F308" t="str">
            <v>Beautiful</v>
          </cell>
        </row>
        <row r="309">
          <cell r="F309" t="str">
            <v>Cute</v>
          </cell>
        </row>
        <row r="310">
          <cell r="F310" t="str">
            <v>Clever</v>
          </cell>
        </row>
        <row r="311">
          <cell r="F311" t="str">
            <v>Clever</v>
          </cell>
        </row>
        <row r="312">
          <cell r="F312" t="str">
            <v>Beautiful</v>
          </cell>
        </row>
        <row r="313">
          <cell r="F313" t="str">
            <v>Tough</v>
          </cell>
        </row>
        <row r="314">
          <cell r="F314" t="str">
            <v>Tough</v>
          </cell>
        </row>
        <row r="315">
          <cell r="F315" t="str">
            <v>Cool</v>
          </cell>
        </row>
        <row r="316">
          <cell r="F316" t="str">
            <v>Clever</v>
          </cell>
        </row>
        <row r="317">
          <cell r="F317" t="str">
            <v>Cool</v>
          </cell>
        </row>
        <row r="318">
          <cell r="F318" t="str">
            <v>Tough</v>
          </cell>
        </row>
        <row r="319">
          <cell r="F319" t="str">
            <v>Cool</v>
          </cell>
        </row>
        <row r="320">
          <cell r="F320" t="str">
            <v>Clever</v>
          </cell>
        </row>
        <row r="321">
          <cell r="F321" t="str">
            <v>Beautiful</v>
          </cell>
        </row>
        <row r="322">
          <cell r="F322" t="str">
            <v>Clever</v>
          </cell>
        </row>
        <row r="323">
          <cell r="F323" t="str">
            <v>Cute</v>
          </cell>
        </row>
        <row r="324">
          <cell r="F324" t="str">
            <v>Tough</v>
          </cell>
        </row>
        <row r="325">
          <cell r="F325" t="str">
            <v>Cool</v>
          </cell>
        </row>
        <row r="326">
          <cell r="F326" t="str">
            <v>Cute</v>
          </cell>
        </row>
        <row r="327">
          <cell r="F327" t="str">
            <v>Cool</v>
          </cell>
        </row>
        <row r="328">
          <cell r="F328" t="str">
            <v>Cool</v>
          </cell>
        </row>
        <row r="329">
          <cell r="F329" t="str">
            <v>Clever</v>
          </cell>
        </row>
        <row r="330">
          <cell r="F330" t="str">
            <v>Clever</v>
          </cell>
        </row>
        <row r="331">
          <cell r="F331" t="str">
            <v>Cool</v>
          </cell>
        </row>
        <row r="332">
          <cell r="F332" t="str">
            <v>Tough</v>
          </cell>
        </row>
        <row r="333">
          <cell r="F333" t="str">
            <v>Beautiful</v>
          </cell>
        </row>
        <row r="334">
          <cell r="F334" t="str">
            <v>Beautiful</v>
          </cell>
        </row>
        <row r="335">
          <cell r="F335" t="str">
            <v>Tough</v>
          </cell>
        </row>
        <row r="336">
          <cell r="F336" t="str">
            <v>Clever</v>
          </cell>
        </row>
        <row r="337">
          <cell r="F337" t="str">
            <v>Beautiful</v>
          </cell>
        </row>
        <row r="338">
          <cell r="F338" t="str">
            <v>Tough</v>
          </cell>
        </row>
        <row r="339">
          <cell r="F339" t="str">
            <v>Clever</v>
          </cell>
        </row>
        <row r="340">
          <cell r="F340" t="str">
            <v>Cute</v>
          </cell>
        </row>
        <row r="341">
          <cell r="F341" t="str">
            <v>Beautiful</v>
          </cell>
        </row>
        <row r="342">
          <cell r="F342" t="str">
            <v>Cute</v>
          </cell>
        </row>
        <row r="343">
          <cell r="F343" t="str">
            <v>Clever</v>
          </cell>
        </row>
        <row r="344">
          <cell r="F344" t="str">
            <v>Cool</v>
          </cell>
        </row>
        <row r="345">
          <cell r="F345" t="str">
            <v>Beautiful</v>
          </cell>
        </row>
        <row r="346">
          <cell r="F346" t="str">
            <v>Cute</v>
          </cell>
        </row>
        <row r="347">
          <cell r="F347" t="str">
            <v>Clever</v>
          </cell>
        </row>
        <row r="348">
          <cell r="F348" t="str">
            <v>Beautiful</v>
          </cell>
        </row>
        <row r="349">
          <cell r="F349" t="str">
            <v>Tough</v>
          </cell>
        </row>
        <row r="350">
          <cell r="F350" t="str">
            <v>Cool</v>
          </cell>
        </row>
        <row r="351">
          <cell r="F351" t="str">
            <v>Cute</v>
          </cell>
        </row>
        <row r="352">
          <cell r="F352" t="str">
            <v>Clever</v>
          </cell>
        </row>
        <row r="353">
          <cell r="F353" t="str">
            <v>Tough</v>
          </cell>
        </row>
        <row r="354">
          <cell r="F354" t="str">
            <v>Cool</v>
          </cell>
        </row>
        <row r="355">
          <cell r="F355" t="str">
            <v>Cute</v>
          </cell>
        </row>
        <row r="356">
          <cell r="F356" t="str">
            <v>Beautiful</v>
          </cell>
        </row>
        <row r="357">
          <cell r="F357" t="str">
            <v>Beautiful</v>
          </cell>
        </row>
        <row r="358">
          <cell r="F358" t="str">
            <v>Clever</v>
          </cell>
        </row>
        <row r="359">
          <cell r="F359" t="str">
            <v>Cool</v>
          </cell>
        </row>
        <row r="360">
          <cell r="F360" t="str">
            <v>Tough</v>
          </cell>
        </row>
        <row r="361">
          <cell r="F361" t="str">
            <v>Cool</v>
          </cell>
        </row>
        <row r="362">
          <cell r="F362" t="str">
            <v>Tough</v>
          </cell>
        </row>
        <row r="363">
          <cell r="F363" t="str">
            <v>Beautiful</v>
          </cell>
        </row>
        <row r="364">
          <cell r="F364" t="str">
            <v>Cool</v>
          </cell>
        </row>
        <row r="365">
          <cell r="F365" t="str">
            <v>Clever</v>
          </cell>
        </row>
        <row r="366">
          <cell r="F366" t="str">
            <v>Cool</v>
          </cell>
        </row>
        <row r="367">
          <cell r="F367" t="str">
            <v>Beautiful</v>
          </cell>
        </row>
        <row r="368">
          <cell r="F368" t="str">
            <v>Cool</v>
          </cell>
        </row>
        <row r="369">
          <cell r="F369" t="str">
            <v>Cute</v>
          </cell>
        </row>
        <row r="370">
          <cell r="F370" t="str">
            <v>Cute</v>
          </cell>
        </row>
        <row r="371">
          <cell r="F371" t="str">
            <v>Cute</v>
          </cell>
        </row>
        <row r="372">
          <cell r="F372" t="str">
            <v>Clever</v>
          </cell>
        </row>
        <row r="373">
          <cell r="F373" t="str">
            <v>Cute</v>
          </cell>
        </row>
        <row r="374">
          <cell r="F374" t="str">
            <v>Cute</v>
          </cell>
        </row>
        <row r="375">
          <cell r="F375" t="str">
            <v>Beautiful</v>
          </cell>
        </row>
        <row r="376">
          <cell r="F376" t="str">
            <v>Clever</v>
          </cell>
        </row>
        <row r="377">
          <cell r="F377" t="str">
            <v>Cute</v>
          </cell>
        </row>
        <row r="378">
          <cell r="F378" t="str">
            <v>Beautiful</v>
          </cell>
        </row>
        <row r="379">
          <cell r="F379" t="str">
            <v>Clever</v>
          </cell>
        </row>
        <row r="380">
          <cell r="F380" t="str">
            <v>Beautiful</v>
          </cell>
        </row>
        <row r="381">
          <cell r="F381" t="str">
            <v>Beautiful</v>
          </cell>
        </row>
        <row r="382">
          <cell r="F382" t="str">
            <v>Beautiful</v>
          </cell>
        </row>
        <row r="383">
          <cell r="F383" t="str">
            <v>Beautiful</v>
          </cell>
        </row>
        <row r="384">
          <cell r="F384" t="str">
            <v>Clever</v>
          </cell>
        </row>
        <row r="385">
          <cell r="F385" t="str">
            <v>Tough</v>
          </cell>
        </row>
        <row r="386">
          <cell r="F386" t="str">
            <v>Cute</v>
          </cell>
        </row>
        <row r="387">
          <cell r="F387" t="str">
            <v>Tough</v>
          </cell>
        </row>
        <row r="388">
          <cell r="F388" t="str">
            <v>Cute</v>
          </cell>
        </row>
        <row r="389">
          <cell r="F389" t="str">
            <v>Cool</v>
          </cell>
        </row>
        <row r="390">
          <cell r="F390" t="str">
            <v>Beautiful</v>
          </cell>
        </row>
        <row r="391">
          <cell r="F391" t="str">
            <v>Cute</v>
          </cell>
        </row>
        <row r="392">
          <cell r="F392" t="str">
            <v>Cool</v>
          </cell>
        </row>
        <row r="393">
          <cell r="F393" t="str">
            <v>Beautiful</v>
          </cell>
        </row>
        <row r="394">
          <cell r="F394" t="str">
            <v>Cool</v>
          </cell>
        </row>
        <row r="395">
          <cell r="F395" t="str">
            <v>Clever</v>
          </cell>
        </row>
        <row r="396">
          <cell r="F396" t="str">
            <v>Cool</v>
          </cell>
        </row>
        <row r="397">
          <cell r="F397" t="str">
            <v>Clever</v>
          </cell>
        </row>
        <row r="398">
          <cell r="F398" t="str">
            <v>Beautiful</v>
          </cell>
        </row>
        <row r="399">
          <cell r="F399" t="str">
            <v>Clever</v>
          </cell>
        </row>
        <row r="400">
          <cell r="F400" t="str">
            <v>Clever</v>
          </cell>
        </row>
        <row r="401">
          <cell r="F401" t="str">
            <v>Tough</v>
          </cell>
        </row>
        <row r="402">
          <cell r="F402" t="str">
            <v>Tough</v>
          </cell>
        </row>
        <row r="403">
          <cell r="F403" t="str">
            <v>Cute</v>
          </cell>
        </row>
        <row r="404">
          <cell r="F404" t="str">
            <v>Cool</v>
          </cell>
        </row>
        <row r="405">
          <cell r="F405" t="str">
            <v>Tough</v>
          </cell>
        </row>
        <row r="406">
          <cell r="F406" t="str">
            <v>Tough</v>
          </cell>
        </row>
        <row r="407">
          <cell r="F407" t="str">
            <v>Tough</v>
          </cell>
        </row>
        <row r="408">
          <cell r="F408" t="str">
            <v>Clever</v>
          </cell>
        </row>
        <row r="409">
          <cell r="F409" t="str">
            <v>Clever</v>
          </cell>
        </row>
        <row r="410">
          <cell r="F410" t="str">
            <v>Beautiful</v>
          </cell>
        </row>
        <row r="411">
          <cell r="F411" t="str">
            <v>Cool</v>
          </cell>
        </row>
        <row r="412">
          <cell r="F412" t="str">
            <v>Cool</v>
          </cell>
        </row>
        <row r="413">
          <cell r="F413" t="str">
            <v>Beautiful</v>
          </cell>
        </row>
        <row r="414">
          <cell r="F414" t="str">
            <v>Clever</v>
          </cell>
        </row>
        <row r="415">
          <cell r="F415" t="str">
            <v>Clever</v>
          </cell>
        </row>
        <row r="416">
          <cell r="F416" t="str">
            <v>Cool</v>
          </cell>
        </row>
        <row r="417">
          <cell r="F417" t="str">
            <v>Clever</v>
          </cell>
        </row>
        <row r="418">
          <cell r="F418" t="str">
            <v>Cool</v>
          </cell>
        </row>
        <row r="419">
          <cell r="F419" t="str">
            <v>Cool</v>
          </cell>
        </row>
        <row r="420">
          <cell r="F420" t="str">
            <v>Beautiful</v>
          </cell>
        </row>
        <row r="421">
          <cell r="F421" t="str">
            <v>Beautiful</v>
          </cell>
        </row>
        <row r="422">
          <cell r="F422" t="str">
            <v>Beautiful</v>
          </cell>
        </row>
        <row r="423">
          <cell r="F423" t="str">
            <v>Cool</v>
          </cell>
        </row>
        <row r="424">
          <cell r="F424" t="str">
            <v>Cool</v>
          </cell>
        </row>
        <row r="425">
          <cell r="F425" t="str">
            <v>Cute</v>
          </cell>
        </row>
        <row r="426">
          <cell r="F426" t="str">
            <v>Cute</v>
          </cell>
        </row>
        <row r="427">
          <cell r="F427" t="str">
            <v>Cute</v>
          </cell>
        </row>
        <row r="428">
          <cell r="F428" t="str">
            <v>Clever</v>
          </cell>
        </row>
        <row r="429">
          <cell r="F429" t="str">
            <v>Clever</v>
          </cell>
        </row>
        <row r="430">
          <cell r="F430" t="str">
            <v>Clever</v>
          </cell>
        </row>
        <row r="431">
          <cell r="F431" t="str">
            <v>Clever</v>
          </cell>
        </row>
        <row r="432">
          <cell r="F432" t="str">
            <v>Clever</v>
          </cell>
        </row>
        <row r="433">
          <cell r="F433" t="str">
            <v>Clever</v>
          </cell>
        </row>
        <row r="434">
          <cell r="F434" t="str">
            <v>Cute</v>
          </cell>
        </row>
        <row r="435">
          <cell r="F435" t="str">
            <v>Cool</v>
          </cell>
        </row>
        <row r="436">
          <cell r="F436" t="str">
            <v>Tough</v>
          </cell>
        </row>
        <row r="437">
          <cell r="F437" t="str">
            <v>Clever</v>
          </cell>
        </row>
        <row r="438">
          <cell r="F438" t="str">
            <v>Beautiful</v>
          </cell>
        </row>
        <row r="439">
          <cell r="F439" t="str">
            <v>Beautiful</v>
          </cell>
        </row>
        <row r="440">
          <cell r="F440" t="str">
            <v>Clever</v>
          </cell>
        </row>
        <row r="441">
          <cell r="F441" t="str">
            <v>Beautiful</v>
          </cell>
        </row>
        <row r="442">
          <cell r="F442" t="str">
            <v>Cool</v>
          </cell>
        </row>
        <row r="443">
          <cell r="F443" t="str">
            <v>Tough</v>
          </cell>
        </row>
        <row r="444">
          <cell r="F444" t="str">
            <v>Beautiful</v>
          </cell>
        </row>
        <row r="445">
          <cell r="F445" t="str">
            <v>Tough</v>
          </cell>
        </row>
        <row r="446">
          <cell r="F446" t="str">
            <v>Cool</v>
          </cell>
        </row>
        <row r="447">
          <cell r="F447" t="str">
            <v>Cute</v>
          </cell>
        </row>
        <row r="448">
          <cell r="F448" t="str">
            <v>Beautiful</v>
          </cell>
        </row>
        <row r="449">
          <cell r="F449" t="str">
            <v>Cute</v>
          </cell>
        </row>
        <row r="450">
          <cell r="F450" t="str">
            <v>Beautiful</v>
          </cell>
        </row>
        <row r="451">
          <cell r="F451" t="str">
            <v>Clever</v>
          </cell>
        </row>
        <row r="452">
          <cell r="F452" t="str">
            <v>Clever</v>
          </cell>
        </row>
        <row r="453">
          <cell r="F453" t="str">
            <v>Tough</v>
          </cell>
        </row>
        <row r="454">
          <cell r="F454" t="str">
            <v>Clever</v>
          </cell>
        </row>
        <row r="455">
          <cell r="F455" t="str">
            <v>Clever</v>
          </cell>
        </row>
        <row r="456">
          <cell r="F456" t="str">
            <v>Cool</v>
          </cell>
        </row>
        <row r="457">
          <cell r="F457" t="str">
            <v>Cool</v>
          </cell>
        </row>
        <row r="458">
          <cell r="F458" t="str">
            <v>Beautiful</v>
          </cell>
        </row>
        <row r="459">
          <cell r="F459" t="str">
            <v>Cool</v>
          </cell>
        </row>
        <row r="460">
          <cell r="F460" t="str">
            <v>Clever</v>
          </cell>
        </row>
        <row r="461">
          <cell r="F461" t="str">
            <v>Clever</v>
          </cell>
        </row>
        <row r="462">
          <cell r="F462" t="str">
            <v>Clever</v>
          </cell>
        </row>
        <row r="463">
          <cell r="F463" t="str">
            <v>Clever</v>
          </cell>
        </row>
        <row r="464">
          <cell r="F464" t="str">
            <v>Beautiful</v>
          </cell>
        </row>
        <row r="465">
          <cell r="F465" t="str">
            <v>Clever</v>
          </cell>
        </row>
        <row r="466">
          <cell r="F466" t="str">
            <v>Cool</v>
          </cell>
        </row>
        <row r="467">
          <cell r="F467" t="str">
            <v>Cool</v>
          </cell>
        </row>
        <row r="468">
          <cell r="F468" t="str">
            <v>Beautiful</v>
          </cell>
        </row>
        <row r="469">
          <cell r="F469" t="str">
            <v>Cool</v>
          </cell>
        </row>
        <row r="470">
          <cell r="F470" t="str">
            <v>Clever</v>
          </cell>
        </row>
        <row r="471">
          <cell r="F471" t="str">
            <v>Tough</v>
          </cell>
        </row>
        <row r="472">
          <cell r="F472" t="str">
            <v>Cool</v>
          </cell>
        </row>
        <row r="473">
          <cell r="F473" t="str">
            <v>Cool</v>
          </cell>
        </row>
        <row r="474">
          <cell r="F474" t="str">
            <v>Cool</v>
          </cell>
        </row>
        <row r="475">
          <cell r="F475" t="str">
            <v>Cool</v>
          </cell>
        </row>
        <row r="476">
          <cell r="F476" t="str">
            <v>Clever</v>
          </cell>
        </row>
        <row r="477">
          <cell r="F477" t="str">
            <v>Clever</v>
          </cell>
        </row>
        <row r="478">
          <cell r="F478" t="str">
            <v>Clever</v>
          </cell>
        </row>
        <row r="479">
          <cell r="F479" t="str">
            <v>Clever</v>
          </cell>
        </row>
        <row r="480">
          <cell r="F480" t="str">
            <v>Cute</v>
          </cell>
        </row>
        <row r="481">
          <cell r="F481" t="str">
            <v>Beautiful</v>
          </cell>
        </row>
        <row r="482">
          <cell r="F482" t="str">
            <v>Cute</v>
          </cell>
        </row>
        <row r="483">
          <cell r="F483" t="str">
            <v>Cool</v>
          </cell>
        </row>
        <row r="484">
          <cell r="F484" t="str">
            <v>Cute</v>
          </cell>
        </row>
        <row r="485">
          <cell r="F485" t="str">
            <v>Beautiful</v>
          </cell>
        </row>
        <row r="486">
          <cell r="F486" t="str">
            <v>Tough</v>
          </cell>
        </row>
        <row r="487">
          <cell r="F487" t="str">
            <v>Cool</v>
          </cell>
        </row>
        <row r="488">
          <cell r="F488" t="str">
            <v>Cool</v>
          </cell>
        </row>
        <row r="489">
          <cell r="F489" t="str">
            <v>Cool</v>
          </cell>
        </row>
        <row r="490">
          <cell r="F490" t="str">
            <v>Tough</v>
          </cell>
        </row>
        <row r="491">
          <cell r="F491" t="str">
            <v>Cool</v>
          </cell>
        </row>
        <row r="492">
          <cell r="F492" t="str">
            <v>Tough</v>
          </cell>
        </row>
        <row r="493">
          <cell r="F493" t="str">
            <v>Tough</v>
          </cell>
        </row>
        <row r="494">
          <cell r="F494" t="str">
            <v>Tough</v>
          </cell>
        </row>
        <row r="495">
          <cell r="F495" t="str">
            <v>Tough</v>
          </cell>
        </row>
        <row r="496">
          <cell r="F496" t="str">
            <v>Clever</v>
          </cell>
        </row>
        <row r="497">
          <cell r="F497" t="str">
            <v>Tough</v>
          </cell>
        </row>
        <row r="498">
          <cell r="F498" t="str">
            <v>Cute</v>
          </cell>
        </row>
        <row r="499">
          <cell r="F499" t="str">
            <v>Cool</v>
          </cell>
        </row>
        <row r="500">
          <cell r="F500" t="str">
            <v>Tough</v>
          </cell>
        </row>
        <row r="501">
          <cell r="F501" t="str">
            <v>Cool</v>
          </cell>
        </row>
        <row r="502">
          <cell r="F502" t="str">
            <v>Tough</v>
          </cell>
        </row>
        <row r="503">
          <cell r="F503" t="str">
            <v>Beautiful</v>
          </cell>
        </row>
        <row r="504">
          <cell r="F504" t="str">
            <v>Beautiful</v>
          </cell>
        </row>
        <row r="505">
          <cell r="F505" t="str">
            <v>Cool</v>
          </cell>
        </row>
        <row r="506">
          <cell r="F506" t="str">
            <v>Beautiful</v>
          </cell>
        </row>
        <row r="507">
          <cell r="F507" t="str">
            <v>Cute</v>
          </cell>
        </row>
        <row r="508">
          <cell r="F508" t="str">
            <v>Clever</v>
          </cell>
        </row>
        <row r="509">
          <cell r="F509" t="str">
            <v>Tough</v>
          </cell>
        </row>
        <row r="510">
          <cell r="F510" t="str">
            <v>Tough</v>
          </cell>
        </row>
        <row r="511">
          <cell r="F511" t="str">
            <v>Tough</v>
          </cell>
        </row>
        <row r="512">
          <cell r="F512" t="str">
            <v>Tough</v>
          </cell>
        </row>
        <row r="513">
          <cell r="F513" t="str">
            <v>Clever</v>
          </cell>
        </row>
        <row r="514">
          <cell r="F514" t="str">
            <v>Cool</v>
          </cell>
        </row>
        <row r="515">
          <cell r="F515" t="str">
            <v>Clever</v>
          </cell>
        </row>
        <row r="516">
          <cell r="F516" t="str">
            <v>Beautiful</v>
          </cell>
        </row>
        <row r="517">
          <cell r="F517" t="str">
            <v>Clever</v>
          </cell>
        </row>
        <row r="518">
          <cell r="F518" t="str">
            <v>Cool</v>
          </cell>
        </row>
        <row r="519">
          <cell r="F519" t="str">
            <v>Tough</v>
          </cell>
        </row>
        <row r="520">
          <cell r="F520" t="str">
            <v>Beautiful</v>
          </cell>
        </row>
        <row r="521">
          <cell r="F521" t="str">
            <v>Clever</v>
          </cell>
        </row>
        <row r="522">
          <cell r="F522" t="str">
            <v>Tough</v>
          </cell>
        </row>
        <row r="523">
          <cell r="F523" t="str">
            <v>Cute</v>
          </cell>
        </row>
        <row r="524">
          <cell r="F524" t="str">
            <v>Clever</v>
          </cell>
        </row>
        <row r="525">
          <cell r="F525" t="str">
            <v>Clever</v>
          </cell>
        </row>
        <row r="526">
          <cell r="F526" t="str">
            <v>Beautiful</v>
          </cell>
        </row>
        <row r="527">
          <cell r="F527" t="str">
            <v>Clever</v>
          </cell>
        </row>
        <row r="528">
          <cell r="F528" t="str">
            <v>Cute</v>
          </cell>
        </row>
        <row r="529">
          <cell r="F529" t="str">
            <v>Beautiful</v>
          </cell>
        </row>
        <row r="530">
          <cell r="F530" t="str">
            <v>Tough</v>
          </cell>
        </row>
        <row r="531">
          <cell r="F531" t="str">
            <v>Cool</v>
          </cell>
        </row>
        <row r="532">
          <cell r="F532" t="str">
            <v>Clever</v>
          </cell>
        </row>
        <row r="533">
          <cell r="F533" t="str">
            <v>Cool</v>
          </cell>
        </row>
        <row r="534">
          <cell r="F534" t="str">
            <v>Clever</v>
          </cell>
        </row>
        <row r="535">
          <cell r="F535" t="str">
            <v>Beautiful</v>
          </cell>
        </row>
        <row r="536">
          <cell r="F536" t="str">
            <v>Beautiful</v>
          </cell>
        </row>
        <row r="537">
          <cell r="F537" t="str">
            <v>Cute</v>
          </cell>
        </row>
        <row r="538">
          <cell r="F538" t="str">
            <v>Cute</v>
          </cell>
        </row>
        <row r="539">
          <cell r="F539" t="str">
            <v>Clever</v>
          </cell>
        </row>
        <row r="540">
          <cell r="F540" t="str">
            <v>Clever</v>
          </cell>
        </row>
        <row r="541">
          <cell r="F541" t="str">
            <v>Tough</v>
          </cell>
        </row>
        <row r="542">
          <cell r="F542" t="str">
            <v>Cool</v>
          </cell>
        </row>
        <row r="543">
          <cell r="F543" t="str">
            <v>Tough</v>
          </cell>
        </row>
        <row r="544">
          <cell r="F544" t="str">
            <v>Cool</v>
          </cell>
        </row>
        <row r="545">
          <cell r="F545" t="str">
            <v>Cute</v>
          </cell>
        </row>
        <row r="546">
          <cell r="F546" t="str">
            <v>Tough</v>
          </cell>
        </row>
        <row r="547">
          <cell r="F547" t="str">
            <v>Cool</v>
          </cell>
        </row>
        <row r="548">
          <cell r="F548" t="str">
            <v>Clever</v>
          </cell>
        </row>
        <row r="549">
          <cell r="F549" t="str">
            <v>Cute</v>
          </cell>
        </row>
        <row r="550">
          <cell r="F550" t="str">
            <v>Tough</v>
          </cell>
        </row>
        <row r="551">
          <cell r="F551" t="str">
            <v>Tough</v>
          </cell>
        </row>
        <row r="552">
          <cell r="F552" t="str">
            <v>Tough</v>
          </cell>
        </row>
        <row r="553">
          <cell r="F553" t="str">
            <v>Tough</v>
          </cell>
        </row>
        <row r="554">
          <cell r="F554" t="str">
            <v>Clever</v>
          </cell>
        </row>
        <row r="555">
          <cell r="F555" t="str">
            <v>Clever</v>
          </cell>
        </row>
        <row r="556">
          <cell r="F556" t="str">
            <v>Tough</v>
          </cell>
        </row>
        <row r="557">
          <cell r="F557" t="str">
            <v>Clever</v>
          </cell>
        </row>
        <row r="558">
          <cell r="F558" t="str">
            <v>Tough</v>
          </cell>
        </row>
        <row r="559">
          <cell r="F559" t="str">
            <v>Tough</v>
          </cell>
        </row>
        <row r="560">
          <cell r="F560" t="str">
            <v>Clever</v>
          </cell>
        </row>
        <row r="561">
          <cell r="F561" t="str">
            <v>Clever</v>
          </cell>
        </row>
        <row r="562">
          <cell r="F562" t="str">
            <v>Cute</v>
          </cell>
        </row>
        <row r="563">
          <cell r="F563" t="str">
            <v>Cute</v>
          </cell>
        </row>
        <row r="564">
          <cell r="F564" t="str">
            <v>Beautiful</v>
          </cell>
        </row>
        <row r="565">
          <cell r="F565" t="str">
            <v>Cool</v>
          </cell>
        </row>
        <row r="566">
          <cell r="F566" t="str">
            <v>Beautiful</v>
          </cell>
        </row>
        <row r="567">
          <cell r="F567" t="str">
            <v>Cool</v>
          </cell>
        </row>
        <row r="568">
          <cell r="F568" t="str">
            <v>Tough</v>
          </cell>
        </row>
        <row r="569">
          <cell r="F569" t="str">
            <v>Cool</v>
          </cell>
        </row>
        <row r="570">
          <cell r="F570" t="str">
            <v>Beautiful</v>
          </cell>
        </row>
        <row r="571">
          <cell r="F571" t="str">
            <v>Clever</v>
          </cell>
        </row>
        <row r="572">
          <cell r="F572" t="str">
            <v>Clever</v>
          </cell>
        </row>
        <row r="573">
          <cell r="F573" t="str">
            <v>Clever</v>
          </cell>
        </row>
        <row r="574">
          <cell r="F574" t="str">
            <v>Cool</v>
          </cell>
        </row>
        <row r="575">
          <cell r="F575" t="str">
            <v>Clever</v>
          </cell>
        </row>
        <row r="576">
          <cell r="F576" t="str">
            <v>Tough</v>
          </cell>
        </row>
        <row r="577">
          <cell r="F577" t="str">
            <v>Tough</v>
          </cell>
        </row>
        <row r="578">
          <cell r="F578" t="str">
            <v>Cool</v>
          </cell>
        </row>
        <row r="579">
          <cell r="F579" t="str">
            <v>Tough</v>
          </cell>
        </row>
        <row r="580">
          <cell r="F580" t="str">
            <v>Tough</v>
          </cell>
        </row>
        <row r="581">
          <cell r="F581" t="str">
            <v>Cute</v>
          </cell>
        </row>
        <row r="582">
          <cell r="F582" t="str">
            <v>Beautiful</v>
          </cell>
        </row>
        <row r="583">
          <cell r="F583" t="str">
            <v>Cute</v>
          </cell>
        </row>
        <row r="584">
          <cell r="F584" t="str">
            <v>Cool</v>
          </cell>
        </row>
        <row r="585">
          <cell r="F585" t="str">
            <v>Beautiful</v>
          </cell>
        </row>
        <row r="586">
          <cell r="F586" t="str">
            <v>Tough</v>
          </cell>
        </row>
        <row r="587">
          <cell r="F587" t="str">
            <v>Cool</v>
          </cell>
        </row>
        <row r="588">
          <cell r="F588" t="str">
            <v>Cool</v>
          </cell>
        </row>
        <row r="589">
          <cell r="F589" t="str">
            <v>Tough</v>
          </cell>
        </row>
        <row r="590">
          <cell r="F590" t="str">
            <v>Tough</v>
          </cell>
        </row>
        <row r="591">
          <cell r="F591" t="str">
            <v>Tough</v>
          </cell>
        </row>
        <row r="592">
          <cell r="F592" t="str">
            <v>Tough</v>
          </cell>
        </row>
        <row r="593">
          <cell r="F593" t="str">
            <v>Clever</v>
          </cell>
        </row>
        <row r="594">
          <cell r="F594" t="str">
            <v>Cool</v>
          </cell>
        </row>
        <row r="595">
          <cell r="F595" t="str">
            <v>Tough</v>
          </cell>
        </row>
        <row r="596">
          <cell r="F596" t="str">
            <v>Clever</v>
          </cell>
        </row>
        <row r="597">
          <cell r="F597" t="str">
            <v>Clever</v>
          </cell>
        </row>
        <row r="598">
          <cell r="F598" t="str">
            <v>Cool</v>
          </cell>
        </row>
        <row r="599">
          <cell r="F599" t="str">
            <v>Cute</v>
          </cell>
        </row>
        <row r="600">
          <cell r="F600" t="str">
            <v>Cute</v>
          </cell>
        </row>
        <row r="601">
          <cell r="F601" t="str">
            <v>Clever</v>
          </cell>
        </row>
        <row r="602">
          <cell r="F602" t="str">
            <v>Cool</v>
          </cell>
        </row>
        <row r="603">
          <cell r="F603" t="str">
            <v>Clever</v>
          </cell>
        </row>
        <row r="604">
          <cell r="F604" t="str">
            <v>Clever</v>
          </cell>
        </row>
        <row r="605">
          <cell r="F605" t="str">
            <v>Beautiful</v>
          </cell>
        </row>
        <row r="606">
          <cell r="F606" t="str">
            <v>Tough</v>
          </cell>
        </row>
        <row r="607">
          <cell r="F607" t="str">
            <v>Tough</v>
          </cell>
        </row>
        <row r="608">
          <cell r="F608" t="str">
            <v>Clever</v>
          </cell>
        </row>
        <row r="609">
          <cell r="F609" t="str">
            <v>Beautiful</v>
          </cell>
        </row>
        <row r="610">
          <cell r="F610" t="str">
            <v>Cute</v>
          </cell>
        </row>
        <row r="611">
          <cell r="F611" t="str">
            <v>Tough</v>
          </cell>
        </row>
        <row r="612">
          <cell r="F612" t="str">
            <v>Cute</v>
          </cell>
        </row>
        <row r="613">
          <cell r="F613" t="str">
            <v>Cute</v>
          </cell>
        </row>
        <row r="614">
          <cell r="F614" t="str">
            <v>Cool</v>
          </cell>
        </row>
        <row r="615">
          <cell r="F615" t="str">
            <v>Cool</v>
          </cell>
        </row>
        <row r="616">
          <cell r="F616" t="str">
            <v>Beautiful</v>
          </cell>
        </row>
        <row r="617">
          <cell r="F617" t="str">
            <v>Clever</v>
          </cell>
        </row>
        <row r="618">
          <cell r="F618" t="str">
            <v>Clever</v>
          </cell>
        </row>
        <row r="619">
          <cell r="F619" t="str">
            <v>Tough</v>
          </cell>
        </row>
        <row r="620">
          <cell r="F620" t="str">
            <v>Beautiful</v>
          </cell>
        </row>
        <row r="621">
          <cell r="F621" t="str">
            <v>Cute</v>
          </cell>
        </row>
        <row r="622">
          <cell r="F622" t="str">
            <v>Cute</v>
          </cell>
        </row>
        <row r="623">
          <cell r="F623" t="str">
            <v>Clever</v>
          </cell>
        </row>
        <row r="624">
          <cell r="F624" t="str">
            <v>Tough</v>
          </cell>
        </row>
        <row r="625">
          <cell r="F625" t="str">
            <v>Tough</v>
          </cell>
        </row>
        <row r="626">
          <cell r="F626" t="str">
            <v>Clever</v>
          </cell>
        </row>
        <row r="627">
          <cell r="F627" t="str">
            <v>Cute</v>
          </cell>
        </row>
        <row r="628">
          <cell r="F628" t="str">
            <v>Cute</v>
          </cell>
        </row>
        <row r="629">
          <cell r="F629" t="str">
            <v>Cool</v>
          </cell>
        </row>
        <row r="630">
          <cell r="F630" t="str">
            <v>Cute</v>
          </cell>
        </row>
        <row r="631">
          <cell r="F631" t="str">
            <v>Clever</v>
          </cell>
        </row>
        <row r="632">
          <cell r="F632" t="str">
            <v>Cool</v>
          </cell>
        </row>
        <row r="633">
          <cell r="F633" t="str">
            <v>Tough</v>
          </cell>
        </row>
        <row r="634">
          <cell r="F634" t="str">
            <v>Beautiful</v>
          </cell>
        </row>
        <row r="635">
          <cell r="F635" t="str">
            <v>Tough</v>
          </cell>
        </row>
        <row r="636">
          <cell r="F636" t="str">
            <v>Tough</v>
          </cell>
        </row>
        <row r="637">
          <cell r="F637" t="str">
            <v>Tough</v>
          </cell>
        </row>
        <row r="638">
          <cell r="F638" t="str">
            <v>Cool</v>
          </cell>
        </row>
        <row r="639">
          <cell r="F639" t="str">
            <v>Clever</v>
          </cell>
        </row>
        <row r="640">
          <cell r="F640" t="str">
            <v>Cool</v>
          </cell>
        </row>
        <row r="641">
          <cell r="F641" t="str">
            <v>Cool</v>
          </cell>
        </row>
        <row r="642">
          <cell r="F642" t="str">
            <v>Cool</v>
          </cell>
        </row>
        <row r="643">
          <cell r="F643" t="str">
            <v>Cool</v>
          </cell>
        </row>
        <row r="644">
          <cell r="F644" t="str">
            <v>Cute</v>
          </cell>
        </row>
        <row r="645">
          <cell r="F645" t="str">
            <v>Clever</v>
          </cell>
        </row>
        <row r="646">
          <cell r="F646" t="str">
            <v>Tough</v>
          </cell>
        </row>
        <row r="647">
          <cell r="F647" t="str">
            <v>Clever</v>
          </cell>
        </row>
        <row r="648">
          <cell r="F648" t="str">
            <v>Clever</v>
          </cell>
        </row>
        <row r="649">
          <cell r="F649" t="str">
            <v>Clever</v>
          </cell>
        </row>
        <row r="650">
          <cell r="F650" t="str">
            <v>Clever</v>
          </cell>
        </row>
        <row r="651">
          <cell r="F651" t="str">
            <v>Beautiful</v>
          </cell>
        </row>
        <row r="652">
          <cell r="F652" t="str">
            <v>Clever</v>
          </cell>
        </row>
        <row r="653">
          <cell r="F653" t="str">
            <v>Cute</v>
          </cell>
        </row>
        <row r="654">
          <cell r="F654" t="str">
            <v>Cute</v>
          </cell>
        </row>
        <row r="655">
          <cell r="F655" t="str">
            <v>Cool</v>
          </cell>
        </row>
        <row r="656">
          <cell r="F656" t="str">
            <v>Cute</v>
          </cell>
        </row>
        <row r="657">
          <cell r="F657" t="str">
            <v>Cool</v>
          </cell>
        </row>
        <row r="658">
          <cell r="F658" t="str">
            <v>Cool</v>
          </cell>
        </row>
        <row r="659">
          <cell r="F659" t="str">
            <v>Cool</v>
          </cell>
        </row>
        <row r="660">
          <cell r="F660" t="str">
            <v>Cute</v>
          </cell>
        </row>
        <row r="661">
          <cell r="F661" t="str">
            <v>Cute</v>
          </cell>
        </row>
        <row r="662">
          <cell r="F662" t="str">
            <v>Cool</v>
          </cell>
        </row>
        <row r="663">
          <cell r="F663" t="str">
            <v>Clever</v>
          </cell>
        </row>
        <row r="664">
          <cell r="F664" t="str">
            <v>Clever</v>
          </cell>
        </row>
        <row r="665">
          <cell r="F665" t="str">
            <v>Beautiful</v>
          </cell>
        </row>
        <row r="666">
          <cell r="F666" t="str">
            <v>Tough</v>
          </cell>
        </row>
        <row r="667">
          <cell r="F667" t="str">
            <v>Cool</v>
          </cell>
        </row>
        <row r="668">
          <cell r="F668" t="str">
            <v>Cool</v>
          </cell>
        </row>
        <row r="669">
          <cell r="F669" t="str">
            <v>Cool</v>
          </cell>
        </row>
        <row r="670">
          <cell r="F670" t="str">
            <v>Cool</v>
          </cell>
        </row>
        <row r="671">
          <cell r="F671" t="str">
            <v>Clever</v>
          </cell>
        </row>
        <row r="672">
          <cell r="F672" t="str">
            <v>Cool</v>
          </cell>
        </row>
        <row r="673">
          <cell r="F673" t="str">
            <v>Cute</v>
          </cell>
        </row>
        <row r="674">
          <cell r="F674" t="str">
            <v>Beautiful</v>
          </cell>
        </row>
        <row r="675">
          <cell r="F675" t="str">
            <v>Beautiful</v>
          </cell>
        </row>
        <row r="676">
          <cell r="F676" t="str">
            <v>Cool</v>
          </cell>
        </row>
        <row r="677">
          <cell r="F677" t="str">
            <v>Cute</v>
          </cell>
        </row>
        <row r="678">
          <cell r="F678" t="str">
            <v>Beautiful</v>
          </cell>
        </row>
        <row r="679">
          <cell r="F679" t="str">
            <v>Tough</v>
          </cell>
        </row>
        <row r="680">
          <cell r="F680" t="str">
            <v>Clever</v>
          </cell>
        </row>
        <row r="681">
          <cell r="F681" t="str">
            <v>Beautiful</v>
          </cell>
        </row>
        <row r="682">
          <cell r="F682" t="str">
            <v>Clever</v>
          </cell>
        </row>
        <row r="683">
          <cell r="F683" t="str">
            <v>Tough</v>
          </cell>
        </row>
        <row r="684">
          <cell r="F684" t="str">
            <v>Tough</v>
          </cell>
        </row>
        <row r="685">
          <cell r="F685" t="str">
            <v>Beautiful</v>
          </cell>
        </row>
        <row r="686">
          <cell r="F686" t="str">
            <v>Cool</v>
          </cell>
        </row>
        <row r="687">
          <cell r="F687" t="str">
            <v>Cute</v>
          </cell>
        </row>
        <row r="688">
          <cell r="F688" t="str">
            <v>Cute</v>
          </cell>
        </row>
        <row r="689">
          <cell r="F689" t="str">
            <v>Clever</v>
          </cell>
        </row>
        <row r="690">
          <cell r="F690" t="str">
            <v>Tough</v>
          </cell>
        </row>
        <row r="691">
          <cell r="F691" t="str">
            <v>Tough</v>
          </cell>
        </row>
        <row r="692">
          <cell r="F692" t="str">
            <v>Beautiful</v>
          </cell>
        </row>
        <row r="693">
          <cell r="F693" t="str">
            <v>Tough</v>
          </cell>
        </row>
        <row r="694">
          <cell r="F694" t="str">
            <v>Clever</v>
          </cell>
        </row>
        <row r="695">
          <cell r="F695" t="str">
            <v>Beautiful</v>
          </cell>
        </row>
        <row r="696">
          <cell r="F696" t="str">
            <v>Cute</v>
          </cell>
        </row>
        <row r="697">
          <cell r="F697" t="str">
            <v>Cool</v>
          </cell>
        </row>
        <row r="698">
          <cell r="F698" t="str">
            <v>Beautiful</v>
          </cell>
        </row>
        <row r="699">
          <cell r="F699" t="str">
            <v>Cute</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ED7D31"/>
      </a:accent1>
      <a:accent2>
        <a:srgbClr val="5B9BD5"/>
      </a:accent2>
      <a:accent3>
        <a:srgbClr val="FFA7DB"/>
      </a:accent3>
      <a:accent4>
        <a:srgbClr val="70AD47"/>
      </a:accent4>
      <a:accent5>
        <a:srgbClr val="FFC00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14D-2CBF-4F4B-92C8-4E2C62588AA5}">
  <sheetPr codeName="Sheet1"/>
  <dimension ref="A1:E19"/>
  <sheetViews>
    <sheetView tabSelected="1" topLeftCell="A7" workbookViewId="0">
      <selection activeCell="E17" sqref="E17"/>
    </sheetView>
  </sheetViews>
  <sheetFormatPr defaultRowHeight="15" x14ac:dyDescent="0.25"/>
  <cols>
    <col min="1" max="1" width="9.140625" style="2"/>
    <col min="2" max="5" width="36.5703125" style="2" customWidth="1"/>
    <col min="6" max="16384" width="9.140625" style="2"/>
  </cols>
  <sheetData>
    <row r="1" spans="1:5" x14ac:dyDescent="0.25">
      <c r="A1" s="1" t="s">
        <v>0</v>
      </c>
      <c r="B1" s="1" t="s">
        <v>1</v>
      </c>
      <c r="C1" s="1" t="s">
        <v>2</v>
      </c>
      <c r="D1" s="1" t="s">
        <v>3</v>
      </c>
      <c r="E1" s="2" t="s">
        <v>329</v>
      </c>
    </row>
    <row r="2" spans="1:5" ht="60" x14ac:dyDescent="0.25">
      <c r="A2" s="1" t="s">
        <v>4</v>
      </c>
      <c r="B2" s="1" t="s">
        <v>5</v>
      </c>
      <c r="C2" s="1" t="s">
        <v>527</v>
      </c>
      <c r="D2" s="1" t="s">
        <v>512</v>
      </c>
      <c r="E2" s="2" t="s">
        <v>531</v>
      </c>
    </row>
    <row r="3" spans="1:5" ht="45" x14ac:dyDescent="0.25">
      <c r="A3" s="1" t="s">
        <v>6</v>
      </c>
      <c r="B3" s="1" t="s">
        <v>331</v>
      </c>
      <c r="C3" s="1" t="s">
        <v>515</v>
      </c>
      <c r="D3" s="1" t="s">
        <v>445</v>
      </c>
      <c r="E3" s="2" t="s">
        <v>353</v>
      </c>
    </row>
    <row r="4" spans="1:5" ht="30" x14ac:dyDescent="0.25">
      <c r="A4" s="1" t="s">
        <v>7</v>
      </c>
      <c r="B4" s="2" t="s">
        <v>352</v>
      </c>
      <c r="C4" s="1" t="s">
        <v>32</v>
      </c>
      <c r="D4" s="1" t="s">
        <v>357</v>
      </c>
    </row>
    <row r="5" spans="1:5" ht="30" x14ac:dyDescent="0.25">
      <c r="A5" s="1" t="s">
        <v>8</v>
      </c>
      <c r="B5" s="1" t="s">
        <v>9</v>
      </c>
      <c r="C5" s="1" t="s">
        <v>526</v>
      </c>
      <c r="D5" s="1" t="s">
        <v>446</v>
      </c>
      <c r="E5" s="2" t="s">
        <v>356</v>
      </c>
    </row>
    <row r="6" spans="1:5" ht="45" x14ac:dyDescent="0.25">
      <c r="A6" s="1" t="s">
        <v>10</v>
      </c>
      <c r="B6" s="1" t="s">
        <v>524</v>
      </c>
      <c r="C6" s="1" t="s">
        <v>480</v>
      </c>
      <c r="D6" s="1" t="s">
        <v>333</v>
      </c>
      <c r="E6" s="2" t="s">
        <v>528</v>
      </c>
    </row>
    <row r="7" spans="1:5" ht="30" x14ac:dyDescent="0.25">
      <c r="A7" s="1" t="s">
        <v>11</v>
      </c>
      <c r="B7" s="1" t="s">
        <v>338</v>
      </c>
      <c r="C7" s="1" t="s">
        <v>339</v>
      </c>
      <c r="D7" s="1" t="s">
        <v>359</v>
      </c>
      <c r="E7" s="2" t="s">
        <v>506</v>
      </c>
    </row>
    <row r="8" spans="1:5" ht="45" x14ac:dyDescent="0.25">
      <c r="A8" s="1" t="s">
        <v>12</v>
      </c>
      <c r="B8" s="1" t="s">
        <v>525</v>
      </c>
      <c r="C8" s="1" t="s">
        <v>522</v>
      </c>
      <c r="D8" s="1" t="s">
        <v>444</v>
      </c>
      <c r="E8" s="2" t="s">
        <v>353</v>
      </c>
    </row>
    <row r="9" spans="1:5" x14ac:dyDescent="0.25">
      <c r="A9" s="1" t="s">
        <v>13</v>
      </c>
      <c r="B9" s="1" t="s">
        <v>478</v>
      </c>
      <c r="C9" s="1" t="s">
        <v>354</v>
      </c>
      <c r="D9" s="1" t="s">
        <v>14</v>
      </c>
      <c r="E9" s="2" t="s">
        <v>513</v>
      </c>
    </row>
    <row r="10" spans="1:5" x14ac:dyDescent="0.25">
      <c r="A10" s="1" t="s">
        <v>15</v>
      </c>
      <c r="B10" s="1" t="s">
        <v>16</v>
      </c>
      <c r="C10" s="1" t="s">
        <v>358</v>
      </c>
      <c r="D10" s="1" t="s">
        <v>332</v>
      </c>
      <c r="E10" s="2" t="s">
        <v>330</v>
      </c>
    </row>
    <row r="11" spans="1:5" ht="30" x14ac:dyDescent="0.25">
      <c r="A11" s="1" t="s">
        <v>17</v>
      </c>
      <c r="B11" s="1" t="s">
        <v>336</v>
      </c>
      <c r="C11" s="1" t="s">
        <v>418</v>
      </c>
      <c r="D11" s="1" t="s">
        <v>516</v>
      </c>
    </row>
    <row r="12" spans="1:5" ht="30" x14ac:dyDescent="0.25">
      <c r="A12" s="1" t="s">
        <v>20</v>
      </c>
      <c r="B12" s="1" t="s">
        <v>337</v>
      </c>
      <c r="C12" s="1" t="s">
        <v>540</v>
      </c>
      <c r="D12" s="1" t="s">
        <v>447</v>
      </c>
    </row>
    <row r="13" spans="1:5" ht="45" x14ac:dyDescent="0.25">
      <c r="A13" s="1" t="s">
        <v>18</v>
      </c>
      <c r="B13" s="1" t="s">
        <v>19</v>
      </c>
      <c r="C13" s="1" t="s">
        <v>514</v>
      </c>
      <c r="D13" s="1" t="s">
        <v>360</v>
      </c>
      <c r="E13" s="2" t="s">
        <v>508</v>
      </c>
    </row>
    <row r="14" spans="1:5" x14ac:dyDescent="0.25">
      <c r="A14" s="1" t="s">
        <v>21</v>
      </c>
      <c r="B14" s="1" t="s">
        <v>22</v>
      </c>
      <c r="C14" s="1" t="s">
        <v>355</v>
      </c>
      <c r="D14" s="1" t="s">
        <v>23</v>
      </c>
      <c r="E14" s="2" t="s">
        <v>417</v>
      </c>
    </row>
    <row r="15" spans="1:5" ht="45" x14ac:dyDescent="0.25">
      <c r="A15" s="1" t="s">
        <v>24</v>
      </c>
      <c r="B15" s="1" t="s">
        <v>25</v>
      </c>
      <c r="C15" s="1" t="s">
        <v>517</v>
      </c>
      <c r="D15" s="1" t="s">
        <v>334</v>
      </c>
      <c r="E15" s="2" t="s">
        <v>529</v>
      </c>
    </row>
    <row r="16" spans="1:5" ht="30" x14ac:dyDescent="0.25">
      <c r="A16" s="1" t="s">
        <v>26</v>
      </c>
      <c r="B16" s="1" t="s">
        <v>518</v>
      </c>
      <c r="C16" s="1" t="s">
        <v>335</v>
      </c>
      <c r="D16" s="1" t="s">
        <v>543</v>
      </c>
      <c r="E16" s="2" t="s">
        <v>509</v>
      </c>
    </row>
    <row r="17" spans="1:5" ht="30" x14ac:dyDescent="0.25">
      <c r="A17" s="1" t="s">
        <v>27</v>
      </c>
      <c r="B17" s="2" t="s">
        <v>519</v>
      </c>
      <c r="C17" s="1" t="s">
        <v>523</v>
      </c>
      <c r="D17" s="1" t="s">
        <v>28</v>
      </c>
      <c r="E17" s="2" t="s">
        <v>510</v>
      </c>
    </row>
    <row r="18" spans="1:5" ht="45" x14ac:dyDescent="0.25">
      <c r="A18" s="1" t="s">
        <v>29</v>
      </c>
      <c r="B18" s="2" t="s">
        <v>520</v>
      </c>
      <c r="C18" s="1" t="s">
        <v>541</v>
      </c>
      <c r="D18" s="1" t="s">
        <v>542</v>
      </c>
      <c r="E18" s="2" t="s">
        <v>511</v>
      </c>
    </row>
    <row r="19" spans="1:5" x14ac:dyDescent="0.25">
      <c r="A19" s="1" t="s">
        <v>30</v>
      </c>
      <c r="B19" s="1" t="s">
        <v>521</v>
      </c>
      <c r="C19" s="1" t="s">
        <v>31</v>
      </c>
      <c r="D19" s="1" t="s">
        <v>340</v>
      </c>
      <c r="E19" s="2" t="s">
        <v>530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1753A-5994-40E4-B71E-E07908E57B17}">
  <sheetPr codeName="Sheet2"/>
  <dimension ref="A1:C38"/>
  <sheetViews>
    <sheetView workbookViewId="0">
      <selection activeCell="B31" sqref="B31"/>
    </sheetView>
  </sheetViews>
  <sheetFormatPr defaultRowHeight="15" x14ac:dyDescent="0.25"/>
  <cols>
    <col min="1" max="1" width="27.42578125" style="7" customWidth="1"/>
    <col min="2" max="2" width="91.42578125" style="12" customWidth="1"/>
    <col min="3" max="3" width="9.140625" style="7"/>
  </cols>
  <sheetData>
    <row r="1" spans="1:3" x14ac:dyDescent="0.25">
      <c r="A1" s="7" t="s">
        <v>361</v>
      </c>
      <c r="B1" s="12" t="s">
        <v>362</v>
      </c>
      <c r="C1" s="7" t="s">
        <v>363</v>
      </c>
    </row>
    <row r="2" spans="1:3" ht="120" x14ac:dyDescent="0.25">
      <c r="A2" s="7" t="s">
        <v>364</v>
      </c>
      <c r="B2" s="12" t="s">
        <v>459</v>
      </c>
      <c r="C2" s="7">
        <v>85</v>
      </c>
    </row>
    <row r="3" spans="1:3" x14ac:dyDescent="0.25">
      <c r="A3" s="7" t="s">
        <v>415</v>
      </c>
      <c r="B3" s="12" t="s">
        <v>416</v>
      </c>
      <c r="C3" s="7">
        <v>1</v>
      </c>
    </row>
    <row r="4" spans="1:3" x14ac:dyDescent="0.25">
      <c r="A4" s="7" t="s">
        <v>404</v>
      </c>
      <c r="B4" s="12" t="s">
        <v>406</v>
      </c>
      <c r="C4" s="7">
        <v>1</v>
      </c>
    </row>
    <row r="5" spans="1:3" x14ac:dyDescent="0.25">
      <c r="A5" s="7" t="s">
        <v>405</v>
      </c>
      <c r="B5" s="12" t="s">
        <v>407</v>
      </c>
      <c r="C5" s="7">
        <v>2</v>
      </c>
    </row>
    <row r="6" spans="1:3" x14ac:dyDescent="0.25">
      <c r="A6" s="7" t="s">
        <v>448</v>
      </c>
      <c r="B6" s="12" t="s">
        <v>449</v>
      </c>
      <c r="C6" s="7">
        <v>1</v>
      </c>
    </row>
    <row r="7" spans="1:3" x14ac:dyDescent="0.25">
      <c r="A7" s="7" t="s">
        <v>451</v>
      </c>
      <c r="B7" s="12" t="s">
        <v>450</v>
      </c>
      <c r="C7" s="7">
        <v>1</v>
      </c>
    </row>
    <row r="8" spans="1:3" x14ac:dyDescent="0.25">
      <c r="A8" s="7" t="s">
        <v>408</v>
      </c>
      <c r="B8" s="12" t="s">
        <v>410</v>
      </c>
      <c r="C8" s="7">
        <v>1</v>
      </c>
    </row>
    <row r="9" spans="1:3" x14ac:dyDescent="0.25">
      <c r="A9" s="7" t="s">
        <v>409</v>
      </c>
      <c r="B9" s="12" t="s">
        <v>411</v>
      </c>
      <c r="C9" s="7">
        <v>1</v>
      </c>
    </row>
    <row r="10" spans="1:3" x14ac:dyDescent="0.25">
      <c r="A10" s="7" t="s">
        <v>412</v>
      </c>
      <c r="B10" s="12" t="s">
        <v>413</v>
      </c>
      <c r="C10" s="7">
        <v>1</v>
      </c>
    </row>
    <row r="11" spans="1:3" x14ac:dyDescent="0.25">
      <c r="A11" s="7" t="s">
        <v>378</v>
      </c>
      <c r="B11" s="12" t="s">
        <v>535</v>
      </c>
      <c r="C11" s="7">
        <v>5</v>
      </c>
    </row>
    <row r="12" spans="1:3" x14ac:dyDescent="0.25">
      <c r="A12" s="7" t="s">
        <v>457</v>
      </c>
      <c r="B12" s="12" t="s">
        <v>458</v>
      </c>
      <c r="C12" s="7">
        <v>1</v>
      </c>
    </row>
    <row r="13" spans="1:3" x14ac:dyDescent="0.25">
      <c r="A13" s="7" t="s">
        <v>400</v>
      </c>
      <c r="B13" s="12" t="s">
        <v>401</v>
      </c>
      <c r="C13" s="7">
        <v>1</v>
      </c>
    </row>
    <row r="14" spans="1:3" x14ac:dyDescent="0.25">
      <c r="A14" s="7" t="s">
        <v>365</v>
      </c>
      <c r="B14" s="12" t="s">
        <v>379</v>
      </c>
      <c r="C14" s="7">
        <v>2</v>
      </c>
    </row>
    <row r="15" spans="1:3" x14ac:dyDescent="0.25">
      <c r="A15" s="7" t="s">
        <v>402</v>
      </c>
      <c r="B15" s="12" t="s">
        <v>403</v>
      </c>
      <c r="C15" s="7">
        <v>1</v>
      </c>
    </row>
    <row r="16" spans="1:3" x14ac:dyDescent="0.25">
      <c r="A16" s="7" t="s">
        <v>367</v>
      </c>
      <c r="B16" s="12" t="s">
        <v>380</v>
      </c>
      <c r="C16" s="7">
        <v>1</v>
      </c>
    </row>
    <row r="17" spans="1:3" x14ac:dyDescent="0.25">
      <c r="A17" s="7" t="s">
        <v>366</v>
      </c>
      <c r="B17" s="12" t="s">
        <v>392</v>
      </c>
      <c r="C17" s="7">
        <v>1</v>
      </c>
    </row>
    <row r="18" spans="1:3" x14ac:dyDescent="0.25">
      <c r="A18" s="7" t="s">
        <v>414</v>
      </c>
      <c r="B18" s="12" t="s">
        <v>381</v>
      </c>
      <c r="C18" s="7">
        <v>1</v>
      </c>
    </row>
    <row r="19" spans="1:3" x14ac:dyDescent="0.25">
      <c r="A19" s="7" t="s">
        <v>368</v>
      </c>
      <c r="B19" s="12" t="s">
        <v>382</v>
      </c>
      <c r="C19" s="7">
        <v>1</v>
      </c>
    </row>
    <row r="20" spans="1:3" x14ac:dyDescent="0.25">
      <c r="A20" s="7" t="s">
        <v>393</v>
      </c>
      <c r="B20" s="12" t="s">
        <v>396</v>
      </c>
      <c r="C20" s="7">
        <v>1</v>
      </c>
    </row>
    <row r="21" spans="1:3" x14ac:dyDescent="0.25">
      <c r="A21" s="7" t="s">
        <v>533</v>
      </c>
      <c r="B21" s="12" t="s">
        <v>397</v>
      </c>
      <c r="C21" s="7">
        <v>1</v>
      </c>
    </row>
    <row r="22" spans="1:3" x14ac:dyDescent="0.25">
      <c r="A22" s="7" t="s">
        <v>394</v>
      </c>
      <c r="B22" s="12" t="s">
        <v>395</v>
      </c>
      <c r="C22" s="7">
        <v>1</v>
      </c>
    </row>
    <row r="23" spans="1:3" x14ac:dyDescent="0.25">
      <c r="A23" s="7" t="s">
        <v>430</v>
      </c>
      <c r="B23" s="12" t="s">
        <v>431</v>
      </c>
      <c r="C23" s="7">
        <v>1</v>
      </c>
    </row>
    <row r="24" spans="1:3" x14ac:dyDescent="0.25">
      <c r="A24" s="7" t="s">
        <v>369</v>
      </c>
      <c r="B24" s="12" t="s">
        <v>383</v>
      </c>
      <c r="C24" s="7">
        <v>1</v>
      </c>
    </row>
    <row r="25" spans="1:3" x14ac:dyDescent="0.25">
      <c r="A25" s="7" t="s">
        <v>370</v>
      </c>
      <c r="B25" s="12" t="s">
        <v>384</v>
      </c>
      <c r="C25" s="7">
        <v>1</v>
      </c>
    </row>
    <row r="26" spans="1:3" x14ac:dyDescent="0.25">
      <c r="A26" s="7" t="s">
        <v>371</v>
      </c>
      <c r="B26" s="12" t="s">
        <v>385</v>
      </c>
      <c r="C26" s="7">
        <v>1</v>
      </c>
    </row>
    <row r="27" spans="1:3" x14ac:dyDescent="0.25">
      <c r="A27" s="7" t="s">
        <v>372</v>
      </c>
      <c r="B27" s="12" t="s">
        <v>386</v>
      </c>
      <c r="C27" s="7">
        <v>1</v>
      </c>
    </row>
    <row r="28" spans="1:3" x14ac:dyDescent="0.25">
      <c r="A28" s="7" t="s">
        <v>373</v>
      </c>
      <c r="B28" s="12" t="s">
        <v>387</v>
      </c>
      <c r="C28" s="7">
        <v>1</v>
      </c>
    </row>
    <row r="29" spans="1:3" x14ac:dyDescent="0.25">
      <c r="A29" s="7" t="s">
        <v>374</v>
      </c>
      <c r="B29" s="12" t="s">
        <v>388</v>
      </c>
      <c r="C29" s="7">
        <v>1</v>
      </c>
    </row>
    <row r="30" spans="1:3" x14ac:dyDescent="0.25">
      <c r="A30" s="7" t="s">
        <v>375</v>
      </c>
      <c r="B30" s="12" t="s">
        <v>389</v>
      </c>
      <c r="C30" s="7">
        <v>1</v>
      </c>
    </row>
    <row r="31" spans="1:3" x14ac:dyDescent="0.25">
      <c r="A31" s="7" t="s">
        <v>376</v>
      </c>
      <c r="B31" s="12" t="s">
        <v>390</v>
      </c>
      <c r="C31" s="7">
        <v>1</v>
      </c>
    </row>
    <row r="32" spans="1:3" x14ac:dyDescent="0.25">
      <c r="A32" s="7" t="s">
        <v>377</v>
      </c>
      <c r="B32" s="12" t="s">
        <v>391</v>
      </c>
      <c r="C32" s="7">
        <v>1</v>
      </c>
    </row>
    <row r="33" spans="1:3" x14ac:dyDescent="0.25">
      <c r="A33" s="7" t="s">
        <v>398</v>
      </c>
      <c r="B33" s="12" t="s">
        <v>399</v>
      </c>
      <c r="C33" s="7">
        <v>1</v>
      </c>
    </row>
    <row r="34" spans="1:3" x14ac:dyDescent="0.25">
      <c r="A34" s="14" t="s">
        <v>452</v>
      </c>
      <c r="B34" s="12" t="s">
        <v>454</v>
      </c>
      <c r="C34" s="7">
        <v>3</v>
      </c>
    </row>
    <row r="35" spans="1:3" x14ac:dyDescent="0.25">
      <c r="A35" s="14" t="s">
        <v>453</v>
      </c>
      <c r="B35" s="12" t="s">
        <v>507</v>
      </c>
      <c r="C35" s="7">
        <v>3</v>
      </c>
    </row>
    <row r="36" spans="1:3" x14ac:dyDescent="0.25">
      <c r="A36" s="14" t="s">
        <v>460</v>
      </c>
      <c r="B36" s="12" t="s">
        <v>461</v>
      </c>
      <c r="C36" s="7">
        <v>1</v>
      </c>
    </row>
    <row r="37" spans="1:3" x14ac:dyDescent="0.25">
      <c r="A37" s="7" t="s">
        <v>455</v>
      </c>
      <c r="B37" s="12" t="s">
        <v>456</v>
      </c>
      <c r="C37" s="7">
        <v>1</v>
      </c>
    </row>
    <row r="38" spans="1:3" x14ac:dyDescent="0.25">
      <c r="A38" s="38" t="s">
        <v>534</v>
      </c>
      <c r="B38" s="38"/>
      <c r="C38" s="7">
        <f>SUM(C3:C37)</f>
        <v>45</v>
      </c>
    </row>
  </sheetData>
  <mergeCells count="1">
    <mergeCell ref="A38:B3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9B503-23B4-4040-A638-D1879E1ECC03}">
  <sheetPr codeName="Sheet3"/>
  <dimension ref="A1:C9"/>
  <sheetViews>
    <sheetView workbookViewId="0">
      <selection activeCell="B2" sqref="B2"/>
    </sheetView>
  </sheetViews>
  <sheetFormatPr defaultRowHeight="15" x14ac:dyDescent="0.25"/>
  <cols>
    <col min="1" max="1" width="4.28515625" style="7" customWidth="1"/>
    <col min="2" max="2" width="91.42578125" style="12" customWidth="1"/>
    <col min="3" max="3" width="9.140625" style="7"/>
  </cols>
  <sheetData>
    <row r="1" spans="1:3" x14ac:dyDescent="0.25">
      <c r="A1" s="7" t="s">
        <v>462</v>
      </c>
      <c r="B1" s="12" t="s">
        <v>362</v>
      </c>
      <c r="C1" s="7" t="s">
        <v>363</v>
      </c>
    </row>
    <row r="2" spans="1:3" ht="60" x14ac:dyDescent="0.25">
      <c r="A2" s="7" t="s">
        <v>463</v>
      </c>
      <c r="B2" s="12" t="s">
        <v>475</v>
      </c>
      <c r="C2" s="7">
        <v>30</v>
      </c>
    </row>
    <row r="3" spans="1:3" ht="45" x14ac:dyDescent="0.25">
      <c r="A3" s="7" t="s">
        <v>464</v>
      </c>
      <c r="B3" s="12" t="s">
        <v>476</v>
      </c>
      <c r="C3" s="7">
        <v>23</v>
      </c>
    </row>
    <row r="4" spans="1:3" ht="30" x14ac:dyDescent="0.25">
      <c r="A4" s="7" t="s">
        <v>465</v>
      </c>
      <c r="B4" s="12" t="s">
        <v>479</v>
      </c>
      <c r="C4" s="7">
        <v>21</v>
      </c>
    </row>
    <row r="5" spans="1:3" ht="30" x14ac:dyDescent="0.25">
      <c r="A5" s="7" t="s">
        <v>466</v>
      </c>
      <c r="B5" s="12" t="s">
        <v>477</v>
      </c>
      <c r="C5" s="7">
        <v>22</v>
      </c>
    </row>
    <row r="6" spans="1:3" ht="60" x14ac:dyDescent="0.25">
      <c r="A6" s="7" t="s">
        <v>467</v>
      </c>
      <c r="B6" s="12" t="s">
        <v>471</v>
      </c>
      <c r="C6" s="7">
        <v>39</v>
      </c>
    </row>
    <row r="7" spans="1:3" ht="30" x14ac:dyDescent="0.25">
      <c r="A7" s="7" t="s">
        <v>468</v>
      </c>
      <c r="B7" s="12" t="s">
        <v>472</v>
      </c>
      <c r="C7" s="7">
        <v>15</v>
      </c>
    </row>
    <row r="8" spans="1:3" ht="30" x14ac:dyDescent="0.25">
      <c r="A8" s="7" t="s">
        <v>469</v>
      </c>
      <c r="B8" s="12" t="s">
        <v>473</v>
      </c>
      <c r="C8" s="7">
        <v>14</v>
      </c>
    </row>
    <row r="9" spans="1:3" x14ac:dyDescent="0.25">
      <c r="A9" s="7" t="s">
        <v>470</v>
      </c>
      <c r="B9" s="12" t="s">
        <v>474</v>
      </c>
      <c r="C9" s="7">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B9A0-6ABE-431B-B487-FD53B8F97D87}">
  <sheetPr codeName="Sheet4"/>
  <dimension ref="A1:B15"/>
  <sheetViews>
    <sheetView workbookViewId="0">
      <selection activeCell="B3" sqref="B3"/>
    </sheetView>
  </sheetViews>
  <sheetFormatPr defaultRowHeight="15" x14ac:dyDescent="0.25"/>
  <cols>
    <col min="1" max="1" width="15.42578125" style="7" customWidth="1"/>
    <col min="2" max="2" width="73.140625" style="13" customWidth="1"/>
  </cols>
  <sheetData>
    <row r="1" spans="1:2" x14ac:dyDescent="0.25">
      <c r="A1" s="7" t="s">
        <v>419</v>
      </c>
      <c r="B1" s="13" t="s">
        <v>420</v>
      </c>
    </row>
    <row r="2" spans="1:2" ht="90" x14ac:dyDescent="0.25">
      <c r="A2" s="7" t="s">
        <v>421</v>
      </c>
      <c r="B2" s="13" t="s">
        <v>545</v>
      </c>
    </row>
    <row r="3" spans="1:2" ht="30" x14ac:dyDescent="0.25">
      <c r="A3" s="7" t="s">
        <v>13</v>
      </c>
      <c r="B3" s="13" t="s">
        <v>544</v>
      </c>
    </row>
    <row r="4" spans="1:2" ht="30" x14ac:dyDescent="0.25">
      <c r="A4" s="7" t="s">
        <v>18</v>
      </c>
      <c r="B4" s="13" t="s">
        <v>439</v>
      </c>
    </row>
    <row r="5" spans="1:2" ht="30" x14ac:dyDescent="0.25">
      <c r="A5" s="7" t="s">
        <v>12</v>
      </c>
      <c r="B5" s="13" t="s">
        <v>440</v>
      </c>
    </row>
    <row r="6" spans="1:2" ht="30" x14ac:dyDescent="0.25">
      <c r="A6" s="7" t="s">
        <v>423</v>
      </c>
      <c r="B6" s="13" t="s">
        <v>441</v>
      </c>
    </row>
    <row r="7" spans="1:2" ht="30" x14ac:dyDescent="0.25">
      <c r="A7" s="7" t="s">
        <v>424</v>
      </c>
      <c r="B7" s="13" t="s">
        <v>437</v>
      </c>
    </row>
    <row r="8" spans="1:2" x14ac:dyDescent="0.25">
      <c r="A8" s="7" t="s">
        <v>425</v>
      </c>
      <c r="B8" s="13" t="s">
        <v>436</v>
      </c>
    </row>
    <row r="9" spans="1:2" ht="45" x14ac:dyDescent="0.25">
      <c r="A9" s="7" t="s">
        <v>426</v>
      </c>
      <c r="B9" s="13" t="s">
        <v>435</v>
      </c>
    </row>
    <row r="10" spans="1:2" ht="45" x14ac:dyDescent="0.25">
      <c r="A10" s="7" t="s">
        <v>427</v>
      </c>
      <c r="B10" s="13" t="s">
        <v>434</v>
      </c>
    </row>
    <row r="11" spans="1:2" ht="30" x14ac:dyDescent="0.25">
      <c r="A11" s="7" t="s">
        <v>30</v>
      </c>
      <c r="B11" s="13" t="s">
        <v>432</v>
      </c>
    </row>
    <row r="12" spans="1:2" ht="45" x14ac:dyDescent="0.25">
      <c r="A12" s="7" t="s">
        <v>428</v>
      </c>
      <c r="B12" s="13" t="s">
        <v>433</v>
      </c>
    </row>
    <row r="13" spans="1:2" ht="30" customHeight="1" x14ac:dyDescent="0.25">
      <c r="A13" s="7" t="s">
        <v>422</v>
      </c>
      <c r="B13" s="13" t="s">
        <v>442</v>
      </c>
    </row>
    <row r="14" spans="1:2" ht="30" customHeight="1" x14ac:dyDescent="0.25">
      <c r="A14" s="7" t="s">
        <v>20</v>
      </c>
      <c r="B14" s="13" t="s">
        <v>443</v>
      </c>
    </row>
    <row r="15" spans="1:2" x14ac:dyDescent="0.25">
      <c r="A15" s="7" t="s">
        <v>429</v>
      </c>
      <c r="B15" s="13" t="s">
        <v>438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C4461-F6EE-4B94-90D5-ED13F05C848D}">
  <sheetPr codeName="Sheet5"/>
  <dimension ref="A1:AI30"/>
  <sheetViews>
    <sheetView workbookViewId="0">
      <selection activeCell="T3" sqref="T3"/>
    </sheetView>
  </sheetViews>
  <sheetFormatPr defaultRowHeight="15" x14ac:dyDescent="0.25"/>
  <cols>
    <col min="1" max="1" width="9.140625" customWidth="1"/>
    <col min="2" max="7" width="4.5703125" customWidth="1"/>
    <col min="8" max="8" width="4.85546875" customWidth="1"/>
    <col min="11" max="17" width="4.5703125" customWidth="1"/>
    <col min="20" max="25" width="4.5703125" customWidth="1"/>
    <col min="26" max="26" width="4.85546875" customWidth="1"/>
    <col min="29" max="35" width="4.5703125" customWidth="1"/>
  </cols>
  <sheetData>
    <row r="1" spans="1:35" x14ac:dyDescent="0.25">
      <c r="A1" s="48" t="s">
        <v>532</v>
      </c>
      <c r="B1" s="48"/>
      <c r="C1" s="48"/>
      <c r="D1" s="48"/>
      <c r="E1" s="48"/>
      <c r="F1" s="48"/>
      <c r="G1" s="48"/>
      <c r="H1" s="48"/>
      <c r="I1" s="48"/>
      <c r="J1" s="48"/>
      <c r="K1" s="48"/>
      <c r="L1" s="48"/>
      <c r="M1" s="48"/>
      <c r="N1" s="48"/>
      <c r="O1" s="48"/>
      <c r="P1" s="48"/>
      <c r="Q1" s="49"/>
      <c r="R1" s="36"/>
      <c r="S1" s="48" t="s">
        <v>536</v>
      </c>
      <c r="T1" s="48"/>
      <c r="U1" s="48"/>
      <c r="V1" s="48"/>
      <c r="W1" s="48"/>
      <c r="X1" s="48"/>
      <c r="Y1" s="48"/>
      <c r="Z1" s="48"/>
      <c r="AA1" s="48"/>
      <c r="AB1" s="48"/>
      <c r="AC1" s="48"/>
      <c r="AD1" s="48"/>
      <c r="AE1" s="48"/>
      <c r="AF1" s="48"/>
      <c r="AG1" s="48"/>
      <c r="AH1" s="48"/>
      <c r="AI1" s="49"/>
    </row>
    <row r="2" spans="1:35" x14ac:dyDescent="0.25">
      <c r="A2" s="34" t="s">
        <v>489</v>
      </c>
      <c r="B2" s="17" t="s">
        <v>482</v>
      </c>
      <c r="C2" s="17" t="s">
        <v>483</v>
      </c>
      <c r="D2" s="17" t="s">
        <v>484</v>
      </c>
      <c r="E2" s="17" t="s">
        <v>485</v>
      </c>
      <c r="F2" s="17" t="s">
        <v>486</v>
      </c>
      <c r="G2" s="17" t="s">
        <v>487</v>
      </c>
      <c r="H2" s="17" t="s">
        <v>491</v>
      </c>
      <c r="J2" s="47" t="s">
        <v>494</v>
      </c>
      <c r="K2" s="42"/>
      <c r="L2" s="42"/>
      <c r="M2" s="42"/>
      <c r="N2" s="42"/>
      <c r="O2" s="42"/>
      <c r="P2" s="42"/>
      <c r="Q2" s="43"/>
      <c r="R2" s="36"/>
      <c r="S2" s="35" t="s">
        <v>489</v>
      </c>
      <c r="T2" s="17" t="s">
        <v>482</v>
      </c>
      <c r="U2" s="17" t="s">
        <v>483</v>
      </c>
      <c r="V2" s="17" t="s">
        <v>484</v>
      </c>
      <c r="W2" s="17" t="s">
        <v>485</v>
      </c>
      <c r="X2" s="17" t="s">
        <v>486</v>
      </c>
      <c r="Y2" s="17" t="s">
        <v>487</v>
      </c>
      <c r="Z2" s="17" t="s">
        <v>491</v>
      </c>
      <c r="AB2" s="47" t="s">
        <v>494</v>
      </c>
      <c r="AC2" s="42"/>
      <c r="AD2" s="42"/>
      <c r="AE2" s="42"/>
      <c r="AF2" s="42"/>
      <c r="AG2" s="42"/>
      <c r="AH2" s="42"/>
      <c r="AI2" s="43"/>
    </row>
    <row r="3" spans="1:35" x14ac:dyDescent="0.25">
      <c r="A3" s="21" t="s">
        <v>351</v>
      </c>
      <c r="B3">
        <f>AVERAGE('[1]New Mons'!G$2:G$86)</f>
        <v>67.917647058823533</v>
      </c>
      <c r="C3">
        <f>AVERAGE('[1]New Mons'!H$2:H$86)</f>
        <v>73.776470588235298</v>
      </c>
      <c r="D3">
        <f>AVERAGE('[1]New Mons'!I$2:I$86)</f>
        <v>70.070588235294125</v>
      </c>
      <c r="E3">
        <f>AVERAGE('[1]New Mons'!J$2:J$86)</f>
        <v>68.882352941176464</v>
      </c>
      <c r="F3">
        <f>AVERAGE('[1]New Mons'!K$2:K$86)</f>
        <v>67.364705882352936</v>
      </c>
      <c r="G3">
        <f>AVERAGE('[1]New Mons'!L$2:L$86)</f>
        <v>69.270588235294113</v>
      </c>
      <c r="H3" s="21">
        <f>AVERAGE('[1]New Mons'!M$2:M$86)</f>
        <v>417.2823529411765</v>
      </c>
      <c r="J3" s="32" t="s">
        <v>351</v>
      </c>
      <c r="K3" s="30">
        <f>AVERAGE('[1]New Mons'!G$2:G$99)</f>
        <v>72.887755102040813</v>
      </c>
      <c r="L3" s="30">
        <f>AVERAGE('[1]New Mons'!H$2:H$99)</f>
        <v>77.204081632653057</v>
      </c>
      <c r="M3" s="30">
        <f>AVERAGE('[1]New Mons'!I$2:I$99)</f>
        <v>73.938775510204081</v>
      </c>
      <c r="N3" s="30">
        <f>AVERAGE('[1]New Mons'!J$2:J$99)</f>
        <v>73.724489795918373</v>
      </c>
      <c r="O3" s="30">
        <f>AVERAGE('[1]New Mons'!K$2:K$99)</f>
        <v>72.102040816326536</v>
      </c>
      <c r="P3" s="30">
        <f>AVERAGE('[1]New Mons'!L$2:L$99)</f>
        <v>72.887755102040813</v>
      </c>
      <c r="Q3" s="29">
        <f>AVERAGE('[1]New Mons'!M$2:M$99)</f>
        <v>442.74489795918367</v>
      </c>
      <c r="R3" s="36"/>
      <c r="S3" s="29" t="s">
        <v>351</v>
      </c>
      <c r="T3" t="e">
        <f>AVERAGE(_xlfn.SINGLE(DexRange('[1]Full Dex'!$A$1:$K$23,6)))</f>
        <v>#VALUE!</v>
      </c>
      <c r="U3" t="e">
        <f>AVERAGE('[1]New Mons'!Z$2:Z$86)</f>
        <v>#DIV/0!</v>
      </c>
      <c r="V3" t="e">
        <f>AVERAGE('[1]New Mons'!AA$2:AA$86)</f>
        <v>#DIV/0!</v>
      </c>
      <c r="W3" t="e">
        <f>AVERAGE('[1]New Mons'!AB$2:AB$86)</f>
        <v>#DIV/0!</v>
      </c>
      <c r="X3" t="e">
        <f>AVERAGE('[1]New Mons'!AC$2:AC$86)</f>
        <v>#DIV/0!</v>
      </c>
      <c r="Y3" t="e">
        <f>AVERAGE('[1]New Mons'!AD$2:AD$86)</f>
        <v>#DIV/0!</v>
      </c>
      <c r="Z3" s="29" t="e">
        <f>AVERAGE('[1]New Mons'!AE$2:AE$86)</f>
        <v>#DIV/0!</v>
      </c>
      <c r="AB3" s="32" t="s">
        <v>351</v>
      </c>
      <c r="AC3" s="30" t="e">
        <f>AVERAGE('[1]New Mons'!Y$2:Y$99)</f>
        <v>#DIV/0!</v>
      </c>
      <c r="AD3" s="30" t="e">
        <f>AVERAGE('[1]New Mons'!Z$2:Z$99)</f>
        <v>#DIV/0!</v>
      </c>
      <c r="AE3" s="30" t="e">
        <f>AVERAGE('[1]New Mons'!AA$2:AA$99)</f>
        <v>#DIV/0!</v>
      </c>
      <c r="AF3" s="30" t="e">
        <f>AVERAGE('[1]New Mons'!AB$2:AB$99)</f>
        <v>#DIV/0!</v>
      </c>
      <c r="AG3" s="30" t="e">
        <f>AVERAGE('[1]New Mons'!AC$2:AC$99)</f>
        <v>#DIV/0!</v>
      </c>
      <c r="AH3" s="30" t="e">
        <f>AVERAGE('[1]New Mons'!AD$2:AD$99)</f>
        <v>#DIV/0!</v>
      </c>
      <c r="AI3" s="29" t="e">
        <f>AVERAGE('[1]New Mons'!AE$2:AE$99)</f>
        <v>#DIV/0!</v>
      </c>
    </row>
    <row r="4" spans="1:35" x14ac:dyDescent="0.25">
      <c r="A4" s="20" t="s">
        <v>490</v>
      </c>
      <c r="B4" s="19">
        <f>MEDIAN('[1]New Mons'!G$2:G$86)</f>
        <v>65</v>
      </c>
      <c r="C4" s="19">
        <f>MEDIAN('[1]New Mons'!H$2:H$86)</f>
        <v>70</v>
      </c>
      <c r="D4" s="19">
        <f>MEDIAN('[1]New Mons'!I$2:I$86)</f>
        <v>61</v>
      </c>
      <c r="E4" s="19">
        <f>MEDIAN('[1]New Mons'!J$2:J$86)</f>
        <v>70</v>
      </c>
      <c r="F4" s="19">
        <f>MEDIAN('[1]New Mons'!K$2:K$86)</f>
        <v>65</v>
      </c>
      <c r="G4" s="19">
        <f>MEDIAN('[1]New Mons'!L$2:L$86)</f>
        <v>65</v>
      </c>
      <c r="H4" s="20">
        <f>MEDIAN('[1]New Mons'!M$2:M$86)</f>
        <v>440</v>
      </c>
      <c r="J4" s="33" t="s">
        <v>490</v>
      </c>
      <c r="K4" s="25">
        <f>MEDIAN('[1]New Mons'!G$2:G$99)</f>
        <v>70</v>
      </c>
      <c r="L4" s="25">
        <f>MEDIAN('[1]New Mons'!H$2:H$99)</f>
        <v>75</v>
      </c>
      <c r="M4" s="25">
        <f>MEDIAN('[1]New Mons'!I$2:I$99)</f>
        <v>70</v>
      </c>
      <c r="N4" s="25">
        <f>MEDIAN('[1]New Mons'!J$2:J$99)</f>
        <v>75</v>
      </c>
      <c r="O4" s="25">
        <f>MEDIAN('[1]New Mons'!K$2:K$99)</f>
        <v>68.5</v>
      </c>
      <c r="P4" s="25">
        <f>MEDIAN('[1]New Mons'!L$2:L$99)</f>
        <v>70</v>
      </c>
      <c r="Q4" s="20">
        <f>MEDIAN('[1]New Mons'!M$2:M$99)</f>
        <v>460.5</v>
      </c>
      <c r="R4" s="36"/>
      <c r="S4" s="20" t="s">
        <v>490</v>
      </c>
      <c r="T4" s="25" t="e">
        <f>MEDIAN('[1]New Mons'!Y$2:Y$86)</f>
        <v>#NUM!</v>
      </c>
      <c r="U4" s="25" t="e">
        <f>MEDIAN('[1]New Mons'!Z$2:Z$86)</f>
        <v>#NUM!</v>
      </c>
      <c r="V4" s="25" t="e">
        <f>MEDIAN('[1]New Mons'!AA$2:AA$86)</f>
        <v>#NUM!</v>
      </c>
      <c r="W4" s="25" t="e">
        <f>MEDIAN('[1]New Mons'!AB$2:AB$86)</f>
        <v>#NUM!</v>
      </c>
      <c r="X4" s="25" t="e">
        <f>MEDIAN('[1]New Mons'!AC$2:AC$86)</f>
        <v>#NUM!</v>
      </c>
      <c r="Y4" s="25" t="e">
        <f>MEDIAN('[1]New Mons'!AD$2:AD$86)</f>
        <v>#NUM!</v>
      </c>
      <c r="Z4" s="20" t="e">
        <f>MEDIAN('[1]New Mons'!AE$2:AE$86)</f>
        <v>#NUM!</v>
      </c>
      <c r="AB4" s="33" t="s">
        <v>490</v>
      </c>
      <c r="AC4" s="25" t="e">
        <f>MEDIAN('[1]New Mons'!Y$2:Y$99)</f>
        <v>#NUM!</v>
      </c>
      <c r="AD4" s="25" t="e">
        <f>MEDIAN('[1]New Mons'!Z$2:Z$99)</f>
        <v>#NUM!</v>
      </c>
      <c r="AE4" s="25" t="e">
        <f>MEDIAN('[1]New Mons'!AA$2:AA$99)</f>
        <v>#NUM!</v>
      </c>
      <c r="AF4" s="25" t="e">
        <f>MEDIAN('[1]New Mons'!AB$2:AB$99)</f>
        <v>#NUM!</v>
      </c>
      <c r="AG4" s="25" t="e">
        <f>MEDIAN('[1]New Mons'!AC$2:AC$99)</f>
        <v>#NUM!</v>
      </c>
      <c r="AH4" s="25" t="e">
        <f>MEDIAN('[1]New Mons'!AD$2:AD$99)</f>
        <v>#NUM!</v>
      </c>
      <c r="AI4" s="20" t="e">
        <f>MEDIAN('[1]New Mons'!AE$2:AE$99)</f>
        <v>#NUM!</v>
      </c>
    </row>
    <row r="5" spans="1:35" x14ac:dyDescent="0.25">
      <c r="A5" s="16" t="s">
        <v>488</v>
      </c>
      <c r="B5">
        <f>_xlfn.MODE.SNGL('[1]New Mons'!G$2:G$86)</f>
        <v>60</v>
      </c>
      <c r="C5">
        <f>_xlfn.MODE.SNGL('[1]New Mons'!H$2:H$86)</f>
        <v>80</v>
      </c>
      <c r="D5">
        <f>_xlfn.MODE.SNGL('[1]New Mons'!I$2:I$86)</f>
        <v>60</v>
      </c>
      <c r="E5">
        <f>_xlfn.MODE.SNGL('[1]New Mons'!J$2:J$86)</f>
        <v>60</v>
      </c>
      <c r="F5">
        <f>_xlfn.MODE.SNGL('[1]New Mons'!K$2:K$86)</f>
        <v>80</v>
      </c>
      <c r="G5">
        <f>_xlfn.MODE.SNGL('[1]New Mons'!L$2:L$86)</f>
        <v>60</v>
      </c>
      <c r="H5" s="22">
        <f>_xlfn.MODE.SNGL('[1]New Mons'!M$2:M$86)</f>
        <v>410</v>
      </c>
      <c r="J5" s="33" t="s">
        <v>488</v>
      </c>
      <c r="K5" s="30">
        <f>_xlfn.MODE.SNGL('[1]New Mons'!G$2:G$99)</f>
        <v>100</v>
      </c>
      <c r="L5" s="30">
        <f>_xlfn.MODE.SNGL('[1]New Mons'!H$2:H$99)</f>
        <v>80</v>
      </c>
      <c r="M5" s="30">
        <f>_xlfn.MODE.SNGL('[1]New Mons'!I$2:I$99)</f>
        <v>60</v>
      </c>
      <c r="N5" s="30">
        <f>_xlfn.MODE.SNGL('[1]New Mons'!J$2:J$99)</f>
        <v>60</v>
      </c>
      <c r="O5" s="30">
        <f>_xlfn.MODE.SNGL('[1]New Mons'!K$2:K$99)</f>
        <v>80</v>
      </c>
      <c r="P5" s="30">
        <f>_xlfn.MODE.SNGL('[1]New Mons'!L$2:L$99)</f>
        <v>60</v>
      </c>
      <c r="Q5" s="22">
        <f>_xlfn.MODE.SNGL('[1]New Mons'!M$2:M$99)</f>
        <v>600</v>
      </c>
      <c r="R5" s="36"/>
      <c r="S5" s="27" t="s">
        <v>488</v>
      </c>
      <c r="T5" t="e">
        <f>_xlfn.MODE.SNGL('[1]New Mons'!Y$2:Y$86)</f>
        <v>#N/A</v>
      </c>
      <c r="U5" t="e">
        <f>_xlfn.MODE.SNGL('[1]New Mons'!Z$2:Z$86)</f>
        <v>#N/A</v>
      </c>
      <c r="V5" t="e">
        <f>_xlfn.MODE.SNGL('[1]New Mons'!AA$2:AA$86)</f>
        <v>#N/A</v>
      </c>
      <c r="W5" t="e">
        <f>_xlfn.MODE.SNGL('[1]New Mons'!AB$2:AB$86)</f>
        <v>#N/A</v>
      </c>
      <c r="X5" t="e">
        <f>_xlfn.MODE.SNGL('[1]New Mons'!AC$2:AC$86)</f>
        <v>#N/A</v>
      </c>
      <c r="Y5" t="e">
        <f>_xlfn.MODE.SNGL('[1]New Mons'!AD$2:AD$86)</f>
        <v>#N/A</v>
      </c>
      <c r="Z5" s="22" t="e">
        <f>_xlfn.MODE.SNGL('[1]New Mons'!AE$2:AE$86)</f>
        <v>#N/A</v>
      </c>
      <c r="AB5" s="33" t="s">
        <v>488</v>
      </c>
      <c r="AC5" s="30" t="e">
        <f>_xlfn.MODE.SNGL('[1]New Mons'!Y$2:Y$99)</f>
        <v>#N/A</v>
      </c>
      <c r="AD5" s="30" t="e">
        <f>_xlfn.MODE.SNGL('[1]New Mons'!Z$2:Z$99)</f>
        <v>#N/A</v>
      </c>
      <c r="AE5" s="30" t="e">
        <f>_xlfn.MODE.SNGL('[1]New Mons'!AA$2:AA$99)</f>
        <v>#N/A</v>
      </c>
      <c r="AF5" s="30" t="e">
        <f>_xlfn.MODE.SNGL('[1]New Mons'!AB$2:AB$99)</f>
        <v>#N/A</v>
      </c>
      <c r="AG5" s="30" t="e">
        <f>_xlfn.MODE.SNGL('[1]New Mons'!AC$2:AC$99)</f>
        <v>#N/A</v>
      </c>
      <c r="AH5" s="30" t="e">
        <f>_xlfn.MODE.SNGL('[1]New Mons'!AD$2:AD$99)</f>
        <v>#N/A</v>
      </c>
      <c r="AI5" s="22" t="e">
        <f>_xlfn.MODE.SNGL('[1]New Mons'!AE$2:AE$99)</f>
        <v>#N/A</v>
      </c>
    </row>
    <row r="6" spans="1:35" x14ac:dyDescent="0.25">
      <c r="A6" s="15" t="s">
        <v>495</v>
      </c>
      <c r="B6" s="23">
        <f>_xlfn.STDEV.P('[1]New Mons'!G$2:G$86)</f>
        <v>27.645747152864914</v>
      </c>
      <c r="C6" s="19">
        <f>_xlfn.STDEV.P('[1]New Mons'!H$2:H$86)</f>
        <v>29.438021221298239</v>
      </c>
      <c r="D6" s="19">
        <f>_xlfn.STDEV.P('[1]New Mons'!I$2:I$86)</f>
        <v>29.022015268451199</v>
      </c>
      <c r="E6" s="19">
        <f>_xlfn.STDEV.P('[1]New Mons'!J$2:J$86)</f>
        <v>25.552903260723685</v>
      </c>
      <c r="F6" s="19">
        <f>_xlfn.STDEV.P('[1]New Mons'!K$2:K$86)</f>
        <v>26.766901008883661</v>
      </c>
      <c r="G6" s="19">
        <f>_xlfn.STDEV.P('[1]New Mons'!L$2:L$86)</f>
        <v>28.037952528794261</v>
      </c>
      <c r="H6" s="20">
        <f>_xlfn.STDEV.P('[1]New Mons'!M$2:M$86)</f>
        <v>96.947239958856684</v>
      </c>
      <c r="J6" s="31" t="s">
        <v>495</v>
      </c>
      <c r="K6" s="23">
        <f>_xlfn.STDEV.P('[1]New Mons'!G$2:G$99)</f>
        <v>29.909005760350478</v>
      </c>
      <c r="L6" s="25">
        <f>_xlfn.STDEV.P('[1]New Mons'!H$2:H$99)</f>
        <v>30.947934942703785</v>
      </c>
      <c r="M6" s="25">
        <f>_xlfn.STDEV.P('[1]New Mons'!I$2:I$99)</f>
        <v>31.578155820618104</v>
      </c>
      <c r="N6" s="25">
        <f>_xlfn.STDEV.P('[1]New Mons'!J$2:J$99)</f>
        <v>28.934754405295958</v>
      </c>
      <c r="O6" s="25">
        <f>_xlfn.STDEV.P('[1]New Mons'!K$2:K$99)</f>
        <v>30.221458046350339</v>
      </c>
      <c r="P6" s="25">
        <f>_xlfn.STDEV.P('[1]New Mons'!L$2:L$99)</f>
        <v>29.833511719055895</v>
      </c>
      <c r="Q6" s="20">
        <f>_xlfn.STDEV.P('[1]New Mons'!M$2:M$99)</f>
        <v>112.30537007391307</v>
      </c>
      <c r="R6" s="36"/>
      <c r="S6" s="26" t="s">
        <v>495</v>
      </c>
      <c r="T6" s="23" t="e">
        <f>_xlfn.STDEV.P('[1]New Mons'!Y$2:Y$86)</f>
        <v>#DIV/0!</v>
      </c>
      <c r="U6" s="25" t="e">
        <f>_xlfn.STDEV.P('[1]New Mons'!Z$2:Z$86)</f>
        <v>#DIV/0!</v>
      </c>
      <c r="V6" s="25" t="e">
        <f>_xlfn.STDEV.P('[1]New Mons'!AA$2:AA$86)</f>
        <v>#DIV/0!</v>
      </c>
      <c r="W6" s="25" t="e">
        <f>_xlfn.STDEV.P('[1]New Mons'!AB$2:AB$86)</f>
        <v>#DIV/0!</v>
      </c>
      <c r="X6" s="25" t="e">
        <f>_xlfn.STDEV.P('[1]New Mons'!AC$2:AC$86)</f>
        <v>#DIV/0!</v>
      </c>
      <c r="Y6" s="25" t="e">
        <f>_xlfn.STDEV.P('[1]New Mons'!AD$2:AD$86)</f>
        <v>#DIV/0!</v>
      </c>
      <c r="Z6" s="20" t="e">
        <f>_xlfn.STDEV.P('[1]New Mons'!AE$2:AE$86)</f>
        <v>#DIV/0!</v>
      </c>
      <c r="AB6" s="31" t="s">
        <v>495</v>
      </c>
      <c r="AC6" s="23" t="e">
        <f>_xlfn.STDEV.P('[1]New Mons'!Y$2:Y$99)</f>
        <v>#DIV/0!</v>
      </c>
      <c r="AD6" s="25" t="e">
        <f>_xlfn.STDEV.P('[1]New Mons'!Z$2:Z$99)</f>
        <v>#DIV/0!</v>
      </c>
      <c r="AE6" s="25" t="e">
        <f>_xlfn.STDEV.P('[1]New Mons'!AA$2:AA$99)</f>
        <v>#DIV/0!</v>
      </c>
      <c r="AF6" s="25" t="e">
        <f>_xlfn.STDEV.P('[1]New Mons'!AB$2:AB$99)</f>
        <v>#DIV/0!</v>
      </c>
      <c r="AG6" s="25" t="e">
        <f>_xlfn.STDEV.P('[1]New Mons'!AC$2:AC$99)</f>
        <v>#DIV/0!</v>
      </c>
      <c r="AH6" s="25" t="e">
        <f>_xlfn.STDEV.P('[1]New Mons'!AD$2:AD$99)</f>
        <v>#DIV/0!</v>
      </c>
      <c r="AI6" s="20" t="e">
        <f>_xlfn.STDEV.P('[1]New Mons'!AE$2:AE$99)</f>
        <v>#DIV/0!</v>
      </c>
    </row>
    <row r="7" spans="1:35" x14ac:dyDescent="0.25">
      <c r="A7" s="20" t="s">
        <v>496</v>
      </c>
      <c r="B7" s="26">
        <f>MAX('[1]New Mons'!G$2:G$86)</f>
        <v>181</v>
      </c>
      <c r="C7" s="26">
        <f>MAX('[1]New Mons'!H$2:H$86)</f>
        <v>149</v>
      </c>
      <c r="D7" s="26">
        <f>MAX('[1]New Mons'!I$2:I$86)</f>
        <v>150</v>
      </c>
      <c r="E7" s="26">
        <f>MAX('[1]New Mons'!J$2:J$86)</f>
        <v>128</v>
      </c>
      <c r="F7" s="26">
        <f>MAX('[1]New Mons'!K$2:K$86)</f>
        <v>175</v>
      </c>
      <c r="G7" s="26">
        <f>MAX('[1]New Mons'!L$2:L$86)</f>
        <v>140</v>
      </c>
      <c r="H7" s="20">
        <f>MAX('[1]New Mons'!M$2:M$86)</f>
        <v>600</v>
      </c>
      <c r="J7" s="31" t="s">
        <v>496</v>
      </c>
      <c r="K7" s="24">
        <f>MAX('[1]New Mons'!G$2:G$99)</f>
        <v>181</v>
      </c>
      <c r="L7" s="28">
        <f>MAX('[1]New Mons'!H$2:H$99)</f>
        <v>170</v>
      </c>
      <c r="M7" s="28">
        <f>MAX('[1]New Mons'!I$2:I$99)</f>
        <v>200</v>
      </c>
      <c r="N7" s="28">
        <f>MAX('[1]New Mons'!J$2:J$99)</f>
        <v>170</v>
      </c>
      <c r="O7" s="28">
        <f>MAX('[1]New Mons'!K$2:K$99)</f>
        <v>200</v>
      </c>
      <c r="P7" s="28">
        <f>MAX('[1]New Mons'!L$2:L$99)</f>
        <v>150</v>
      </c>
      <c r="Q7" s="29">
        <f>MAX('[1]New Mons'!M$2:M$99)</f>
        <v>680</v>
      </c>
      <c r="R7" s="36"/>
      <c r="S7" s="20" t="s">
        <v>496</v>
      </c>
      <c r="T7" s="26">
        <f>MAX('[1]New Mons'!Y$2:Y$86)</f>
        <v>0</v>
      </c>
      <c r="U7" s="26">
        <f>MAX('[1]New Mons'!Z$2:Z$86)</f>
        <v>0</v>
      </c>
      <c r="V7" s="26">
        <f>MAX('[1]New Mons'!AA$2:AA$86)</f>
        <v>0</v>
      </c>
      <c r="W7" s="26">
        <f>MAX('[1]New Mons'!AB$2:AB$86)</f>
        <v>0</v>
      </c>
      <c r="X7" s="26">
        <f>MAX('[1]New Mons'!AC$2:AC$86)</f>
        <v>0</v>
      </c>
      <c r="Y7" s="26">
        <f>MAX('[1]New Mons'!AD$2:AD$86)</f>
        <v>0</v>
      </c>
      <c r="Z7" s="20">
        <f>MAX('[1]New Mons'!AE$2:AE$86)</f>
        <v>0</v>
      </c>
      <c r="AB7" s="31" t="s">
        <v>496</v>
      </c>
      <c r="AC7" s="24">
        <f>MAX('[1]New Mons'!Y$2:Y$99)</f>
        <v>0</v>
      </c>
      <c r="AD7" s="28">
        <f>MAX('[1]New Mons'!Z$2:Z$99)</f>
        <v>0</v>
      </c>
      <c r="AE7" s="28">
        <f>MAX('[1]New Mons'!AA$2:AA$99)</f>
        <v>0</v>
      </c>
      <c r="AF7" s="28">
        <f>MAX('[1]New Mons'!AB$2:AB$99)</f>
        <v>0</v>
      </c>
      <c r="AG7" s="28">
        <f>MAX('[1]New Mons'!AC$2:AC$99)</f>
        <v>0</v>
      </c>
      <c r="AH7" s="28">
        <f>MAX('[1]New Mons'!AD$2:AD$99)</f>
        <v>0</v>
      </c>
      <c r="AI7" s="29">
        <f>MAX('[1]New Mons'!AE$2:AE$99)</f>
        <v>0</v>
      </c>
    </row>
    <row r="8" spans="1:35" x14ac:dyDescent="0.25">
      <c r="A8" s="27" t="s">
        <v>497</v>
      </c>
      <c r="B8" s="26">
        <f>MIN('[1]New Mons'!G$2:G$86)</f>
        <v>15</v>
      </c>
      <c r="C8" s="26">
        <f>MIN('[1]New Mons'!H$2:H$86)</f>
        <v>18</v>
      </c>
      <c r="D8" s="26">
        <f>MIN('[1]New Mons'!I$2:I$86)</f>
        <v>20</v>
      </c>
      <c r="E8" s="26">
        <f>MIN('[1]New Mons'!J$2:J$86)</f>
        <v>15</v>
      </c>
      <c r="F8" s="26">
        <f>MIN('[1]New Mons'!K$2:K$86)</f>
        <v>20</v>
      </c>
      <c r="G8" s="26">
        <f>MIN('[1]New Mons'!L$2:L$86)</f>
        <v>5</v>
      </c>
      <c r="H8" s="27">
        <f>MIN('[1]New Mons'!M$2:M$86)</f>
        <v>215</v>
      </c>
      <c r="J8" s="31" t="s">
        <v>497</v>
      </c>
      <c r="K8" s="23">
        <f>MIN('[1]New Mons'!G$2:G$99)</f>
        <v>15</v>
      </c>
      <c r="L8" s="25">
        <f>MIN('[1]New Mons'!H$2:H$99)</f>
        <v>18</v>
      </c>
      <c r="M8" s="25">
        <f>MIN('[1]New Mons'!I$2:I$99)</f>
        <v>20</v>
      </c>
      <c r="N8" s="25">
        <f>MIN('[1]New Mons'!J$2:J$99)</f>
        <v>15</v>
      </c>
      <c r="O8" s="25">
        <f>MIN('[1]New Mons'!K$2:K$99)</f>
        <v>20</v>
      </c>
      <c r="P8" s="25">
        <f>MIN('[1]New Mons'!L$2:L$99)</f>
        <v>5</v>
      </c>
      <c r="Q8" s="20">
        <f>MIN('[1]New Mons'!M$2:M$99)</f>
        <v>215</v>
      </c>
      <c r="R8" s="36"/>
      <c r="S8" s="27" t="s">
        <v>497</v>
      </c>
      <c r="T8" s="26">
        <f>MIN('[1]New Mons'!Y$2:Y$86)</f>
        <v>0</v>
      </c>
      <c r="U8" s="26">
        <f>MIN('[1]New Mons'!Z$2:Z$86)</f>
        <v>0</v>
      </c>
      <c r="V8" s="26">
        <f>MIN('[1]New Mons'!AA$2:AA$86)</f>
        <v>0</v>
      </c>
      <c r="W8" s="26">
        <f>MIN('[1]New Mons'!AB$2:AB$86)</f>
        <v>0</v>
      </c>
      <c r="X8" s="26">
        <f>MIN('[1]New Mons'!AC$2:AC$86)</f>
        <v>0</v>
      </c>
      <c r="Y8" s="26">
        <f>MIN('[1]New Mons'!AD$2:AD$86)</f>
        <v>0</v>
      </c>
      <c r="Z8" s="27">
        <f>MIN('[1]New Mons'!AE$2:AE$86)</f>
        <v>0</v>
      </c>
      <c r="AB8" s="31" t="s">
        <v>497</v>
      </c>
      <c r="AC8" s="23">
        <f>MIN('[1]New Mons'!Y$2:Y$99)</f>
        <v>0</v>
      </c>
      <c r="AD8" s="25">
        <f>MIN('[1]New Mons'!Z$2:Z$99)</f>
        <v>0</v>
      </c>
      <c r="AE8" s="25">
        <f>MIN('[1]New Mons'!AA$2:AA$99)</f>
        <v>0</v>
      </c>
      <c r="AF8" s="25">
        <f>MIN('[1]New Mons'!AB$2:AB$99)</f>
        <v>0</v>
      </c>
      <c r="AG8" s="25">
        <f>MIN('[1]New Mons'!AC$2:AC$99)</f>
        <v>0</v>
      </c>
      <c r="AH8" s="25">
        <f>MIN('[1]New Mons'!AD$2:AD$99)</f>
        <v>0</v>
      </c>
      <c r="AI8" s="20">
        <f>MIN('[1]New Mons'!AE$2:AE$99)</f>
        <v>0</v>
      </c>
    </row>
    <row r="9" spans="1:35" x14ac:dyDescent="0.25">
      <c r="A9" s="40" t="s">
        <v>492</v>
      </c>
      <c r="B9" s="42"/>
      <c r="C9" s="42"/>
      <c r="D9" s="42"/>
      <c r="E9" s="42"/>
      <c r="F9" s="42"/>
      <c r="G9" s="42"/>
      <c r="H9" s="43"/>
      <c r="J9" s="39" t="s">
        <v>493</v>
      </c>
      <c r="K9" s="45"/>
      <c r="L9" s="45"/>
      <c r="M9" s="45"/>
      <c r="N9" s="45"/>
      <c r="O9" s="45"/>
      <c r="P9" s="45"/>
      <c r="Q9" s="46"/>
      <c r="R9" s="36"/>
      <c r="S9" s="40" t="s">
        <v>492</v>
      </c>
      <c r="T9" s="42"/>
      <c r="U9" s="42"/>
      <c r="V9" s="42"/>
      <c r="W9" s="42"/>
      <c r="X9" s="42"/>
      <c r="Y9" s="42"/>
      <c r="Z9" s="43"/>
      <c r="AB9" s="39" t="s">
        <v>493</v>
      </c>
      <c r="AC9" s="45"/>
      <c r="AD9" s="45"/>
      <c r="AE9" s="45"/>
      <c r="AF9" s="45"/>
      <c r="AG9" s="45"/>
      <c r="AH9" s="45"/>
      <c r="AI9" s="46"/>
    </row>
    <row r="10" spans="1:35" x14ac:dyDescent="0.25">
      <c r="A10" s="21" t="s">
        <v>351</v>
      </c>
      <c r="B10" s="23">
        <f>AVERAGE('[1]New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f>
        <v>80.957446808510639</v>
      </c>
      <c r="C10" s="19">
        <f>AVERAGE('[1]New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85.510638297872347</v>
      </c>
      <c r="D10" s="19">
        <f>AVERAGE('[1]New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82.085106382978722</v>
      </c>
      <c r="E10" s="19">
        <f>AVERAGE('[1]New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81.425531914893611</v>
      </c>
      <c r="F10" s="19">
        <f>AVERAGE('[1]New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79.106382978723403</v>
      </c>
      <c r="G10" s="19">
        <f>AVERAGE('[1]New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f>
        <v>81.085106382978722</v>
      </c>
      <c r="H10" s="20">
        <f>AVERAGE('[1]New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f>
        <v>490.17021276595744</v>
      </c>
      <c r="J10" s="24" t="s">
        <v>351</v>
      </c>
      <c r="K10" s="24">
        <f>AVERAGE('[1]New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 '[1]New Mons'!G$87:G$99)</f>
        <v>86.25</v>
      </c>
      <c r="L10" s="28">
        <f>AVERAGE('[1]New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 '[1]New Mons'!H$87:H$99)</f>
        <v>88.566666666666663</v>
      </c>
      <c r="M10" s="28">
        <f>AVERAGE('[1]New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 '[1]New Mons'!I$87:I$99)</f>
        <v>85.8</v>
      </c>
      <c r="N10" s="28">
        <f>AVERAGE('[1]New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 '[1]New Mons'!J$87:J$99)</f>
        <v>86.61666666666666</v>
      </c>
      <c r="O10" s="28">
        <f>AVERAGE('[1]New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 '[1]New Mons'!K$87:K$99)</f>
        <v>84.3</v>
      </c>
      <c r="P10" s="28">
        <f>AVERAGE('[1]New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 '[1]New Mons'!L$87:L$99)</f>
        <v>84.433333333333337</v>
      </c>
      <c r="Q10" s="29">
        <f>AVERAGE('[1]New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 '[1]New Mons'!M$87:M$99)</f>
        <v>515.9666666666667</v>
      </c>
      <c r="R10" s="36"/>
      <c r="S10" s="29" t="s">
        <v>351</v>
      </c>
      <c r="T10" s="23" t="e">
        <f>AVERAGE('[1]New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f>
        <v>#DIV/0!</v>
      </c>
      <c r="U10" s="25" t="e">
        <f>AVERAGE('[1]New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f>
        <v>#DIV/0!</v>
      </c>
      <c r="V10" s="25" t="e">
        <f>AVERAGE('[1]New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f>
        <v>#DIV/0!</v>
      </c>
      <c r="W10" s="25" t="e">
        <f>AVERAGE('[1]New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f>
        <v>#DIV/0!</v>
      </c>
      <c r="X10" s="25" t="e">
        <f>AVERAGE('[1]New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f>
        <v>#DIV/0!</v>
      </c>
      <c r="Y10" s="25" t="e">
        <f>AVERAGE('[1]New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f>
        <v>#DIV/0!</v>
      </c>
      <c r="Z10" s="20" t="e">
        <f>AVERAGE('[1]New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f>
        <v>#DIV/0!</v>
      </c>
      <c r="AB10" s="24" t="s">
        <v>351</v>
      </c>
      <c r="AC10" s="24" t="e">
        <f>AVERAGE('[1]New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 '[1]New Mons'!Y$87:Y$99)</f>
        <v>#DIV/0!</v>
      </c>
      <c r="AD10" s="28" t="e">
        <f>AVERAGE('[1]New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 '[1]New Mons'!Z$87:Z$99)</f>
        <v>#DIV/0!</v>
      </c>
      <c r="AE10" s="28" t="e">
        <f>AVERAGE('[1]New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 '[1]New Mons'!AA$87:AA$99)</f>
        <v>#DIV/0!</v>
      </c>
      <c r="AF10" s="28" t="e">
        <f>AVERAGE('[1]New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 '[1]New Mons'!AB$87:AB$99)</f>
        <v>#DIV/0!</v>
      </c>
      <c r="AG10" s="28" t="e">
        <f>AVERAGE('[1]New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 '[1]New Mons'!AC$87:AC$99)</f>
        <v>#DIV/0!</v>
      </c>
      <c r="AH10" s="28" t="e">
        <f>AVERAGE('[1]New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 '[1]New Mons'!AD$87:AD$99)</f>
        <v>#DIV/0!</v>
      </c>
      <c r="AI10" s="29" t="e">
        <f>AVERAGE('[1]New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 '[1]New Mons'!AE$87:AE$99)</f>
        <v>#DIV/0!</v>
      </c>
    </row>
    <row r="11" spans="1:35" x14ac:dyDescent="0.25">
      <c r="A11" s="20" t="s">
        <v>490</v>
      </c>
      <c r="B11">
        <f>MEDIAN('[1]New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f>
        <v>79</v>
      </c>
      <c r="C11">
        <f>MEDIAN('[1]New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87</v>
      </c>
      <c r="D11">
        <f>MEDIAN('[1]New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80</v>
      </c>
      <c r="E11">
        <f>MEDIAN('[1]New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83</v>
      </c>
      <c r="F11">
        <f>MEDIAN('[1]New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75</v>
      </c>
      <c r="G11">
        <f>MEDIAN('[1]New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f>
        <v>80</v>
      </c>
      <c r="H11" s="22">
        <f>MEDIAN('[1]New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f>
        <v>492</v>
      </c>
      <c r="J11" s="23" t="s">
        <v>490</v>
      </c>
      <c r="K11" s="24">
        <f>MEDIAN('[1]New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 '[1]New Mons'!G$87:G$99)</f>
        <v>86</v>
      </c>
      <c r="L11" s="28">
        <f>MEDIAN('[1]New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 '[1]New Mons'!H$87:H$99)</f>
        <v>90</v>
      </c>
      <c r="M11" s="28">
        <f>MEDIAN('[1]New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 '[1]New Mons'!I$87:I$99)</f>
        <v>85</v>
      </c>
      <c r="N11" s="28">
        <f>MEDIAN('[1]New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 '[1]New Mons'!J$87:J$99)</f>
        <v>88.5</v>
      </c>
      <c r="O11" s="28">
        <f>MEDIAN('[1]New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 '[1]New Mons'!K$87:K$99)</f>
        <v>78</v>
      </c>
      <c r="P11" s="28">
        <f>MEDIAN('[1]New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 '[1]New Mons'!L$87:L$99)</f>
        <v>87.5</v>
      </c>
      <c r="Q11" s="29">
        <f>MEDIAN('[1]New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 '[1]New Mons'!M$87:M$99)</f>
        <v>511</v>
      </c>
      <c r="R11" s="36"/>
      <c r="S11" s="20" t="s">
        <v>490</v>
      </c>
      <c r="T11" t="e">
        <f>MEDIAN('[1]New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f>
        <v>#NUM!</v>
      </c>
      <c r="U11" t="e">
        <f>MEDIAN('[1]New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f>
        <v>#NUM!</v>
      </c>
      <c r="V11" t="e">
        <f>MEDIAN('[1]New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f>
        <v>#NUM!</v>
      </c>
      <c r="W11" t="e">
        <f>MEDIAN('[1]New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f>
        <v>#NUM!</v>
      </c>
      <c r="X11" t="e">
        <f>MEDIAN('[1]New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f>
        <v>#NUM!</v>
      </c>
      <c r="Y11" t="e">
        <f>MEDIAN('[1]New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f>
        <v>#NUM!</v>
      </c>
      <c r="Z11" s="22" t="e">
        <f>MEDIAN('[1]New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f>
        <v>#NUM!</v>
      </c>
      <c r="AB11" s="23" t="s">
        <v>490</v>
      </c>
      <c r="AC11" s="24" t="e">
        <f>MEDIAN('[1]New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 '[1]New Mons'!Y$87:Y$99)</f>
        <v>#NUM!</v>
      </c>
      <c r="AD11" s="28" t="e">
        <f>MEDIAN('[1]New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 '[1]New Mons'!Z$87:Z$99)</f>
        <v>#NUM!</v>
      </c>
      <c r="AE11" s="28" t="e">
        <f>MEDIAN('[1]New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 '[1]New Mons'!AA$87:AA$99)</f>
        <v>#NUM!</v>
      </c>
      <c r="AF11" s="28" t="e">
        <f>MEDIAN('[1]New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 '[1]New Mons'!AB$87:AB$99)</f>
        <v>#NUM!</v>
      </c>
      <c r="AG11" s="28" t="e">
        <f>MEDIAN('[1]New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 '[1]New Mons'!AC$87:AC$99)</f>
        <v>#NUM!</v>
      </c>
      <c r="AH11" s="28" t="e">
        <f>MEDIAN('[1]New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 '[1]New Mons'!AD$87:AD$99)</f>
        <v>#NUM!</v>
      </c>
      <c r="AI11" s="29" t="e">
        <f>MEDIAN('[1]New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 '[1]New Mons'!AE$87:AE$99)</f>
        <v>#NUM!</v>
      </c>
    </row>
    <row r="12" spans="1:35" x14ac:dyDescent="0.25">
      <c r="A12" s="20" t="s">
        <v>488</v>
      </c>
      <c r="B12" s="18">
        <f>MODE('[1]New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f>
        <v>100</v>
      </c>
      <c r="C12" s="18">
        <f>MODE('[1]New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80</v>
      </c>
      <c r="D12" s="18">
        <f>MODE('[1]New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95</v>
      </c>
      <c r="E12" s="18">
        <f>MODE('[1]New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90</v>
      </c>
      <c r="F12" s="18">
        <f>MODE('[1]New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80</v>
      </c>
      <c r="G12" s="18">
        <f>MODE('[1]New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f>
        <v>80</v>
      </c>
      <c r="H12" s="21">
        <f>MODE('[1]New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f>
        <v>440</v>
      </c>
      <c r="J12" s="23" t="s">
        <v>488</v>
      </c>
      <c r="K12" s="23">
        <f>MODE('[1]New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 '[1]New Mons'!G$87:G$99)</f>
        <v>100</v>
      </c>
      <c r="L12" s="25">
        <f>MODE('[1]New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 '[1]New Mons'!H$87:H$99)</f>
        <v>100</v>
      </c>
      <c r="M12" s="25">
        <f>MODE('[1]New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 '[1]New Mons'!I$87:I$99)</f>
        <v>60</v>
      </c>
      <c r="N12" s="25">
        <f>MODE('[1]New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 '[1]New Mons'!J$87:J$99)</f>
        <v>90</v>
      </c>
      <c r="O12" s="25">
        <f>MODE('[1]New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 '[1]New Mons'!K$87:K$99)</f>
        <v>80</v>
      </c>
      <c r="P12" s="25">
        <f>MODE('[1]New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 '[1]New Mons'!L$87:L$99)</f>
        <v>60</v>
      </c>
      <c r="Q12" s="20">
        <f>MODE('[1]New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 '[1]New Mons'!M$87:M$99)</f>
        <v>600</v>
      </c>
      <c r="R12" s="36"/>
      <c r="S12" s="20" t="s">
        <v>488</v>
      </c>
      <c r="T12" s="28" t="e">
        <f>MODE('[1]New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f>
        <v>#N/A</v>
      </c>
      <c r="U12" s="28" t="e">
        <f>MODE('[1]New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f>
        <v>#N/A</v>
      </c>
      <c r="V12" s="28" t="e">
        <f>MODE('[1]New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f>
        <v>#VALUE!</v>
      </c>
      <c r="W12" s="28" t="e">
        <f>MODE('[1]New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f>
        <v>#N/A</v>
      </c>
      <c r="X12" s="28" t="e">
        <f>MODE('[1]New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f>
        <v>#VALUE!</v>
      </c>
      <c r="Y12" s="28" t="e">
        <f>MODE('[1]New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f>
        <v>#VALUE!</v>
      </c>
      <c r="Z12" s="29" t="e">
        <f>MODE('[1]New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f>
        <v>#N/A</v>
      </c>
      <c r="AB12" s="23" t="s">
        <v>488</v>
      </c>
      <c r="AC12" s="23" t="e">
        <f>MODE('[1]New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 '[1]New Mons'!Y$87:Y$99)</f>
        <v>#N/A</v>
      </c>
      <c r="AD12" s="25" t="e">
        <f>MODE('[1]New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 '[1]New Mons'!Z$87:Z$99)</f>
        <v>#N/A</v>
      </c>
      <c r="AE12" s="25" t="e">
        <f>MODE('[1]New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 '[1]New Mons'!AA$87:AA$99)</f>
        <v>#VALUE!</v>
      </c>
      <c r="AF12" s="25" t="e">
        <f>MODE('[1]New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 '[1]New Mons'!AB$87:AB$99)</f>
        <v>#N/A</v>
      </c>
      <c r="AG12" s="25" t="e">
        <f>MODE('[1]New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 '[1]New Mons'!AC$87:AC$99)</f>
        <v>#VALUE!</v>
      </c>
      <c r="AH12" s="25" t="e">
        <f>MODE('[1]New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 '[1]New Mons'!AD$87:AD$99)</f>
        <v>#VALUE!</v>
      </c>
      <c r="AI12" s="20" t="e">
        <f>MODE('[1]New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 '[1]New Mons'!AE$87:AE$99)</f>
        <v>#N/A</v>
      </c>
    </row>
    <row r="13" spans="1:35" x14ac:dyDescent="0.25">
      <c r="A13" s="15" t="s">
        <v>495</v>
      </c>
      <c r="B13" s="24">
        <f>_xlfn.STDEV.P('[1]New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f>
        <v>26.455870479780387</v>
      </c>
      <c r="C13" s="28">
        <f>_xlfn.STDEV.P('[1]New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28.867173685933516</v>
      </c>
      <c r="D13" s="28">
        <f>_xlfn.STDEV.P('[1]New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27.832959022845667</v>
      </c>
      <c r="E13" s="28">
        <f>_xlfn.STDEV.P('[1]New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22.41555755411289</v>
      </c>
      <c r="F13" s="28">
        <f>_xlfn.STDEV.P('[1]New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27.113029012567111</v>
      </c>
      <c r="G13" s="28">
        <f>_xlfn.STDEV.P('[1]New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f>
        <v>27.513114696592091</v>
      </c>
      <c r="H13" s="29">
        <f>_xlfn.STDEV.P('[1]New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f>
        <v>47.55705158306052</v>
      </c>
      <c r="J13" s="31" t="s">
        <v>495</v>
      </c>
      <c r="K13" s="23">
        <f>_xlfn.STDEV.P('[1]New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 '[1]New Mons'!G$87:G$99)</f>
        <v>27.642132696302578</v>
      </c>
      <c r="L13" s="25">
        <f>_xlfn.STDEV.P('[1]New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 '[1]New Mons'!H$87:H$99)</f>
        <v>29.962402366224836</v>
      </c>
      <c r="M13" s="25">
        <f>_xlfn.STDEV.P('[1]New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 '[1]New Mons'!I$87:I$99)</f>
        <v>30.535662211038861</v>
      </c>
      <c r="N13" s="25">
        <f>_xlfn.STDEV.P('[1]New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 '[1]New Mons'!J$87:J$99)</f>
        <v>26.135602580048204</v>
      </c>
      <c r="O13" s="25">
        <f>_xlfn.STDEV.P('[1]New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 '[1]New Mons'!K$87:K$99)</f>
        <v>30.174105896723216</v>
      </c>
      <c r="P13" s="25">
        <f>_xlfn.STDEV.P('[1]New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 '[1]New Mons'!L$87:L$99)</f>
        <v>28.875806867033553</v>
      </c>
      <c r="Q13" s="20">
        <f>_xlfn.STDEV.P('[1]New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 '[1]New Mons'!M$87:M$99)</f>
        <v>67.372587567612072</v>
      </c>
      <c r="R13" s="36"/>
      <c r="S13" s="26" t="s">
        <v>495</v>
      </c>
      <c r="T13" s="24" t="e">
        <f>_xlfn.STDEV.P('[1]New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f>
        <v>#DIV/0!</v>
      </c>
      <c r="U13" s="28" t="e">
        <f>_xlfn.STDEV.P('[1]New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f>
        <v>#DIV/0!</v>
      </c>
      <c r="V13" s="28" t="e">
        <f>_xlfn.STDEV.P('[1]New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f>
        <v>#DIV/0!</v>
      </c>
      <c r="W13" s="28" t="e">
        <f>_xlfn.STDEV.P('[1]New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f>
        <v>#DIV/0!</v>
      </c>
      <c r="X13" s="28" t="e">
        <f>_xlfn.STDEV.P('[1]New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f>
        <v>#DIV/0!</v>
      </c>
      <c r="Y13" s="28" t="e">
        <f>_xlfn.STDEV.P('[1]New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f>
        <v>#DIV/0!</v>
      </c>
      <c r="Z13" s="29" t="e">
        <f>_xlfn.STDEV.P('[1]New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f>
        <v>#DIV/0!</v>
      </c>
      <c r="AB13" s="31" t="s">
        <v>495</v>
      </c>
      <c r="AC13" s="23" t="e">
        <f>_xlfn.STDEV.P('[1]New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 '[1]New Mons'!Y$87:Y$99)</f>
        <v>#DIV/0!</v>
      </c>
      <c r="AD13" s="25" t="e">
        <f>_xlfn.STDEV.P('[1]New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 '[1]New Mons'!Z$87:Z$99)</f>
        <v>#DIV/0!</v>
      </c>
      <c r="AE13" s="25" t="e">
        <f>_xlfn.STDEV.P('[1]New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 '[1]New Mons'!AA$87:AA$99)</f>
        <v>#DIV/0!</v>
      </c>
      <c r="AF13" s="25" t="e">
        <f>_xlfn.STDEV.P('[1]New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 '[1]New Mons'!AB$87:AB$99)</f>
        <v>#DIV/0!</v>
      </c>
      <c r="AG13" s="25" t="e">
        <f>_xlfn.STDEV.P('[1]New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 '[1]New Mons'!AC$87:AC$99)</f>
        <v>#DIV/0!</v>
      </c>
      <c r="AH13" s="25" t="e">
        <f>_xlfn.STDEV.P('[1]New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 '[1]New Mons'!AD$87:AD$99)</f>
        <v>#DIV/0!</v>
      </c>
      <c r="AI13" s="20" t="e">
        <f>_xlfn.STDEV.P('[1]New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 '[1]New Mons'!AE$87:AE$99)</f>
        <v>#DIV/0!</v>
      </c>
    </row>
    <row r="14" spans="1:35" x14ac:dyDescent="0.25">
      <c r="A14" s="26" t="s">
        <v>496</v>
      </c>
      <c r="B14" s="23">
        <f>MAX('[1]New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f>
        <v>181</v>
      </c>
      <c r="C14" s="25">
        <f>MAX('[1]New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149</v>
      </c>
      <c r="D14" s="25">
        <f>MAX('[1]New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150</v>
      </c>
      <c r="E14" s="25">
        <f>MAX('[1]New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128</v>
      </c>
      <c r="F14" s="25">
        <f>MAX('[1]New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175</v>
      </c>
      <c r="G14" s="25">
        <f>MAX('[1]New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f>
        <v>140</v>
      </c>
      <c r="H14" s="20">
        <f>MAX('[1]New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f>
        <v>600</v>
      </c>
      <c r="J14" s="31" t="s">
        <v>496</v>
      </c>
      <c r="K14" s="23">
        <f>MAX('[1]New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 '[1]New Mons'!G$87:G$99)</f>
        <v>181</v>
      </c>
      <c r="L14" s="25">
        <f>MAX('[1]New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 '[1]New Mons'!H$87:H$99)</f>
        <v>170</v>
      </c>
      <c r="M14" s="25">
        <f>MAX('[1]New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 '[1]New Mons'!I$87:I$99)</f>
        <v>200</v>
      </c>
      <c r="N14" s="25">
        <f>MAX('[1]New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 '[1]New Mons'!J$87:J$99)</f>
        <v>170</v>
      </c>
      <c r="O14" s="25">
        <f>MAX('[1]New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 '[1]New Mons'!K$87:K$99)</f>
        <v>200</v>
      </c>
      <c r="P14" s="25">
        <f>MAX('[1]New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 '[1]New Mons'!L$87:L$99)</f>
        <v>150</v>
      </c>
      <c r="Q14" s="20">
        <f>MAX('[1]New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 '[1]New Mons'!M$87:M$99)</f>
        <v>680</v>
      </c>
      <c r="R14" s="36"/>
      <c r="S14" s="26" t="s">
        <v>496</v>
      </c>
      <c r="T14" s="23">
        <f>MAX('[1]New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f>
        <v>0</v>
      </c>
      <c r="U14" s="25">
        <f>MAX('[1]New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f>
        <v>0</v>
      </c>
      <c r="V14" s="25">
        <f>MAX('[1]New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f>
        <v>0</v>
      </c>
      <c r="W14" s="25">
        <f>MAX('[1]New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f>
        <v>0</v>
      </c>
      <c r="X14" s="25">
        <f>MAX('[1]New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f>
        <v>0</v>
      </c>
      <c r="Y14" s="25">
        <f>MAX('[1]New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f>
        <v>0</v>
      </c>
      <c r="Z14" s="20">
        <f>MAX('[1]New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f>
        <v>0</v>
      </c>
      <c r="AB14" s="31" t="s">
        <v>496</v>
      </c>
      <c r="AC14" s="23">
        <f>MAX('[1]New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 '[1]New Mons'!Y$87:Y$99)</f>
        <v>0</v>
      </c>
      <c r="AD14" s="25">
        <f>MAX('[1]New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 '[1]New Mons'!Z$87:Z$99)</f>
        <v>0</v>
      </c>
      <c r="AE14" s="25">
        <f>MAX('[1]New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 '[1]New Mons'!AA$87:AA$99)</f>
        <v>0</v>
      </c>
      <c r="AF14" s="25">
        <f>MAX('[1]New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 '[1]New Mons'!AB$87:AB$99)</f>
        <v>0</v>
      </c>
      <c r="AG14" s="25">
        <f>MAX('[1]New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 '[1]New Mons'!AC$87:AC$99)</f>
        <v>0</v>
      </c>
      <c r="AH14" s="25">
        <f>MAX('[1]New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 '[1]New Mons'!AD$87:AD$99)</f>
        <v>0</v>
      </c>
      <c r="AI14" s="20">
        <f>MAX('[1]New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 '[1]New Mons'!AE$87:AE$99)</f>
        <v>0</v>
      </c>
    </row>
    <row r="15" spans="1:35" x14ac:dyDescent="0.25">
      <c r="A15" s="26" t="s">
        <v>497</v>
      </c>
      <c r="B15" s="31">
        <f>MIN('[1]New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f>
        <v>31</v>
      </c>
      <c r="C15" s="26">
        <f>MIN('[1]New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25</v>
      </c>
      <c r="D15" s="26">
        <f>MIN('[1]New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38</v>
      </c>
      <c r="E15" s="26">
        <f>MIN('[1]New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30</v>
      </c>
      <c r="F15" s="26">
        <f>MIN('[1]New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40</v>
      </c>
      <c r="G15" s="26">
        <f>MIN('[1]New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f>
        <v>10</v>
      </c>
      <c r="H15" s="27">
        <f>MIN('[1]New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f>
        <v>330</v>
      </c>
      <c r="J15" s="31" t="s">
        <v>497</v>
      </c>
      <c r="K15" s="31">
        <f>MIN('[1]New Mons'!G$4,'[1]New Mons'!G$7,'[1]New Mons'!G$10,'[1]New Mons'!G$12,'[1]New Mons'!G$15,'[1]New Mons'!G$18,'[1]New Mons'!G$21,'[1]New Mons'!G$22,'[1]New Mons'!G$23,'[1]New Mons'!G$25,'[1]New Mons'!G$27,'[1]New Mons'!G$29,'[1]New Mons'!G$31,'[1]New Mons'!G$32,'[1]New Mons'!G$33,'[1]New Mons'!G$35,'[1]New Mons'!G$37,'[1]New Mons'!G$39,'[1]New Mons'!G$40,'[1]New Mons'!G$42,'[1]New Mons'!G$44,'[1]New Mons'!G$45,'[1]New Mons'!G$48,'[1]New Mons'!G$50,'[1]New Mons'!G$51,'[1]New Mons'!G$53,'[1]New Mons'!G$55,'[1]New Mons'!G$58,'[1]New Mons'!G$60,'[1]New Mons'!G$62,'[1]New Mons'!G$63,'[1]New Mons'!G$64,'[1]New Mons'!G$67,'[1]New Mons'!G$68,'[1]New Mons'!G$69,'[1]New Mons'!G$70,'[1]New Mons'!G$71,'[1]New Mons'!G$72,'[1]New Mons'!G$73,'[1]New Mons'!G$76,'[1]New Mons'!G$78,'[1]New Mons'!G$79,'[1]New Mons'!G$80,'[1]New Mons'!G$82,'[1]New Mons'!G$84,'[1]New Mons'!G$85,'[1]New Mons'!G$86, '[1]New Mons'!G$87:G$99)</f>
        <v>31</v>
      </c>
      <c r="L15" s="26">
        <f>MIN('[1]New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 '[1]New Mons'!H$87:H$99)</f>
        <v>25</v>
      </c>
      <c r="M15" s="26">
        <f>MIN('[1]New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 '[1]New Mons'!I$87:I$99)</f>
        <v>38</v>
      </c>
      <c r="N15" s="26">
        <f>MIN('[1]New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 '[1]New Mons'!J$87:J$99)</f>
        <v>30</v>
      </c>
      <c r="O15" s="26">
        <f>MIN('[1]New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 '[1]New Mons'!K$87:K$99)</f>
        <v>40</v>
      </c>
      <c r="P15" s="26">
        <f>MIN('[1]New Mons'!L$4,'[1]New Mons'!L$7,'[1]New Mons'!L$10,'[1]New Mons'!L$12,'[1]New Mons'!L$15,'[1]New Mons'!L$18,'[1]New Mons'!L$21,'[1]New Mons'!L$22,'[1]New Mons'!L$23,'[1]New Mons'!L$25,'[1]New Mons'!L$27,'[1]New Mons'!L$29,'[1]New Mons'!L$31,'[1]New Mons'!L$32,'[1]New Mons'!L$33,'[1]New Mons'!L$35,'[1]New Mons'!L$37,'[1]New Mons'!L$39,'[1]New Mons'!L$40,'[1]New Mons'!L$42,'[1]New Mons'!L$44,'[1]New Mons'!L$45,'[1]New Mons'!L$48,'[1]New Mons'!L$50,'[1]New Mons'!L$51,'[1]New Mons'!L$53,'[1]New Mons'!L$55,'[1]New Mons'!L$58,'[1]New Mons'!L$60,'[1]New Mons'!L$62,'[1]New Mons'!L$63,'[1]New Mons'!L$64,'[1]New Mons'!L$67,'[1]New Mons'!L$68,'[1]New Mons'!L$69,'[1]New Mons'!L$70,'[1]New Mons'!L$71,'[1]New Mons'!L$72,'[1]New Mons'!L$73,'[1]New Mons'!L$76,'[1]New Mons'!L$78,'[1]New Mons'!L$79,'[1]New Mons'!L$80,'[1]New Mons'!L$82,'[1]New Mons'!L$84,'[1]New Mons'!L$85,'[1]New Mons'!L$86, '[1]New Mons'!L$87:L$99)</f>
        <v>10</v>
      </c>
      <c r="Q15" s="27">
        <f>MIN('[1]New Mons'!M$4,'[1]New Mons'!M$7,'[1]New Mons'!M$10,'[1]New Mons'!M$12,'[1]New Mons'!M$15,'[1]New Mons'!M$18,'[1]New Mons'!M$21,'[1]New Mons'!M$22,'[1]New Mons'!M$23,'[1]New Mons'!M$25,'[1]New Mons'!M$27,'[1]New Mons'!M$29,'[1]New Mons'!M$31,'[1]New Mons'!M$32,'[1]New Mons'!M$33,'[1]New Mons'!M$35,'[1]New Mons'!M$37,'[1]New Mons'!M$39,'[1]New Mons'!M$40,'[1]New Mons'!M$42,'[1]New Mons'!M$44,'[1]New Mons'!M$45,'[1]New Mons'!M$48,'[1]New Mons'!M$50,'[1]New Mons'!M$51,'[1]New Mons'!M$53,'[1]New Mons'!M$55,'[1]New Mons'!M$58,'[1]New Mons'!M$60,'[1]New Mons'!M$62,'[1]New Mons'!M$63,'[1]New Mons'!M$64,'[1]New Mons'!M$67,'[1]New Mons'!M$68,'[1]New Mons'!M$69,'[1]New Mons'!M$70,'[1]New Mons'!M$71,'[1]New Mons'!M$72,'[1]New Mons'!M$73,'[1]New Mons'!M$76,'[1]New Mons'!M$78,'[1]New Mons'!M$79,'[1]New Mons'!M$80,'[1]New Mons'!M$82,'[1]New Mons'!M$84,'[1]New Mons'!M$85,'[1]New Mons'!M$86, '[1]New Mons'!M$87:M$99)</f>
        <v>330</v>
      </c>
      <c r="R15" s="36"/>
      <c r="S15" s="26" t="s">
        <v>497</v>
      </c>
      <c r="T15" s="31">
        <f>MIN('[1]New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f>
        <v>0</v>
      </c>
      <c r="U15" s="26">
        <f>MIN('[1]New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f>
        <v>0</v>
      </c>
      <c r="V15" s="26">
        <f>MIN('[1]New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f>
        <v>0</v>
      </c>
      <c r="W15" s="26">
        <f>MIN('[1]New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f>
        <v>0</v>
      </c>
      <c r="X15" s="26">
        <f>MIN('[1]New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f>
        <v>0</v>
      </c>
      <c r="Y15" s="26">
        <f>MIN('[1]New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f>
        <v>0</v>
      </c>
      <c r="Z15" s="27">
        <f>MIN('[1]New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f>
        <v>0</v>
      </c>
      <c r="AB15" s="31" t="s">
        <v>497</v>
      </c>
      <c r="AC15" s="31">
        <f>MIN('[1]New Mons'!Y$4,'[1]New Mons'!Y$7,'[1]New Mons'!Y$10,'[1]New Mons'!Y$12,'[1]New Mons'!Y$15,'[1]New Mons'!Y$18,'[1]New Mons'!Y$21,'[1]New Mons'!Y$22,'[1]New Mons'!Y$23,'[1]New Mons'!Y$25,'[1]New Mons'!Y$27,'[1]New Mons'!Y$29,'[1]New Mons'!Y$31,'[1]New Mons'!Y$32,'[1]New Mons'!Y$33,'[1]New Mons'!Y$35,'[1]New Mons'!Y$37,'[1]New Mons'!Y$39,'[1]New Mons'!Y$40,'[1]New Mons'!Y$42,'[1]New Mons'!Y$44,'[1]New Mons'!Y$45,'[1]New Mons'!Y$48,'[1]New Mons'!Y$50,'[1]New Mons'!Y$51,'[1]New Mons'!Y$53,'[1]New Mons'!Y$55,'[1]New Mons'!Y$58,'[1]New Mons'!Y$60,'[1]New Mons'!Y$62,'[1]New Mons'!Y$63,'[1]New Mons'!Y$64,'[1]New Mons'!Y$67,'[1]New Mons'!Y$68,'[1]New Mons'!Y$69,'[1]New Mons'!Y$70,'[1]New Mons'!Y$71,'[1]New Mons'!Y$72,'[1]New Mons'!Y$73,'[1]New Mons'!Y$76,'[1]New Mons'!Y$78,'[1]New Mons'!Y$79,'[1]New Mons'!Y$80,'[1]New Mons'!Y$82,'[1]New Mons'!Y$84,'[1]New Mons'!Y$85,'[1]New Mons'!Y$86, '[1]New Mons'!Y$87:Y$99)</f>
        <v>0</v>
      </c>
      <c r="AD15" s="26">
        <f>MIN('[1]New Mons'!Z$4,'[1]New Mons'!Z$7,'[1]New Mons'!Z$10,'[1]New Mons'!Z$12,'[1]New Mons'!Z$15,'[1]New Mons'!Z$18,'[1]New Mons'!Z$21,'[1]New Mons'!Z$22,'[1]New Mons'!Z$23,'[1]New Mons'!Z$25,'[1]New Mons'!Z$27,'[1]New Mons'!Z$29,'[1]New Mons'!Z$31,'[1]New Mons'!Z$32,'[1]New Mons'!Z$33,'[1]New Mons'!Z$35,'[1]New Mons'!Z$37,'[1]New Mons'!Z$39,'[1]New Mons'!Z$40,'[1]New Mons'!Z$42,'[1]New Mons'!Z$44,'[1]New Mons'!Z$45,'[1]New Mons'!Z$48,'[1]New Mons'!Z$50,'[1]New Mons'!Z$51,'[1]New Mons'!Z$53,'[1]New Mons'!Z$55,'[1]New Mons'!Z$58,'[1]New Mons'!Z$60,'[1]New Mons'!Z$62,'[1]New Mons'!Z$63,'[1]New Mons'!Z$64,'[1]New Mons'!Z$67,'[1]New Mons'!Z$68,'[1]New Mons'!Z$69,'[1]New Mons'!Z$70,'[1]New Mons'!Z$71,'[1]New Mons'!Z$72,'[1]New Mons'!Z$73,'[1]New Mons'!Z$76,'[1]New Mons'!Z$78,'[1]New Mons'!Z$79,'[1]New Mons'!Z$80,'[1]New Mons'!Z$82,'[1]New Mons'!Z$84,'[1]New Mons'!Z$85,'[1]New Mons'!Z$86, '[1]New Mons'!Z$87:Z$99)</f>
        <v>0</v>
      </c>
      <c r="AE15" s="26">
        <f>MIN('[1]New Mons'!AA$4,'[1]New Mons'!AA$7,'[1]New Mons'!AA$10,'[1]New Mons'!AA$12,'[1]New Mons'!AA$15,'[1]New Mons'!AA$18,'[1]New Mons'!AA$21,'[1]New Mons'!AA$22,'[1]New Mons'!AA$23,'[1]New Mons'!AA$25,'[1]New Mons'!AA$27,'[1]New Mons'!AA$29,'[1]New Mons'!AA$31,'[1]New Mons'!AA$32,'[1]New Mons'!AA$33,'[1]New Mons'!AA$35,'[1]New Mons'!AA$37,'[1]New Mons'!AA$39,'[1]New Mons'!AA$40,'[1]New Mons'!AA$42,'[1]New Mons'!AA$44,'[1]New Mons'!AA$45,'[1]New Mons'!AA$48,'[1]New Mons'!AA$50,'[1]New Mons'!AA$51,'[1]New Mons'!AA$53,'[1]New Mons'!AA$55,'[1]New Mons'!AA$58,'[1]New Mons'!AA$60,'[1]New Mons'!AA$62,'[1]New Mons'!AA$63,'[1]New Mons'!AA$64,'[1]New Mons'!AA$67,'[1]New Mons'!AA$68,'[1]New Mons'!AA$69,'[1]New Mons'!AA$70,'[1]New Mons'!AA$71,'[1]New Mons'!AA$72,'[1]New Mons'!AA$73,'[1]New Mons'!AA$76,'[1]New Mons'!AA$78,'[1]New Mons'!AA$79,'[1]New Mons'!AA$80,'[1]New Mons'!AA$82,'[1]New Mons'!AA$84,'[1]New Mons'!AA$85,'[1]New Mons'!AA$86, '[1]New Mons'!AA$87:AA$99)</f>
        <v>0</v>
      </c>
      <c r="AF15" s="26">
        <f>MIN('[1]New Mons'!AB$4,'[1]New Mons'!AB$7,'[1]New Mons'!AB$10,'[1]New Mons'!AB$12,'[1]New Mons'!AB$15,'[1]New Mons'!AB$18,'[1]New Mons'!AB$21,'[1]New Mons'!AB$22,'[1]New Mons'!AB$23,'[1]New Mons'!AB$25,'[1]New Mons'!AB$27,'[1]New Mons'!AB$29,'[1]New Mons'!AB$31,'[1]New Mons'!AB$32,'[1]New Mons'!AB$33,'[1]New Mons'!AB$35,'[1]New Mons'!AB$37,'[1]New Mons'!AB$39,'[1]New Mons'!AB$40,'[1]New Mons'!AB$42,'[1]New Mons'!AB$44,'[1]New Mons'!AB$45,'[1]New Mons'!AB$48,'[1]New Mons'!AB$50,'[1]New Mons'!AB$51,'[1]New Mons'!AB$53,'[1]New Mons'!AB$55,'[1]New Mons'!AB$58,'[1]New Mons'!AB$60,'[1]New Mons'!AB$62,'[1]New Mons'!AB$63,'[1]New Mons'!AB$64,'[1]New Mons'!AB$67,'[1]New Mons'!AB$68,'[1]New Mons'!AB$69,'[1]New Mons'!AB$70,'[1]New Mons'!AB$71,'[1]New Mons'!AB$72,'[1]New Mons'!AB$73,'[1]New Mons'!AB$76,'[1]New Mons'!AB$78,'[1]New Mons'!AB$79,'[1]New Mons'!AB$80,'[1]New Mons'!AB$82,'[1]New Mons'!AB$84,'[1]New Mons'!AB$85,'[1]New Mons'!AB$86, '[1]New Mons'!AB$87:AB$99)</f>
        <v>0</v>
      </c>
      <c r="AG15" s="26">
        <f>MIN('[1]New Mons'!AC$4,'[1]New Mons'!AC$7,'[1]New Mons'!AC$10,'[1]New Mons'!AC$12,'[1]New Mons'!AC$15,'[1]New Mons'!AC$18,'[1]New Mons'!AC$21,'[1]New Mons'!AC$22,'[1]New Mons'!AC$23,'[1]New Mons'!AC$25,'[1]New Mons'!AC$27,'[1]New Mons'!AC$29,'[1]New Mons'!AC$31,'[1]New Mons'!AC$32,'[1]New Mons'!AC$33,'[1]New Mons'!AC$35,'[1]New Mons'!AC$37,'[1]New Mons'!AC$39,'[1]New Mons'!AC$40,'[1]New Mons'!AC$42,'[1]New Mons'!AC$44,'[1]New Mons'!AC$45,'[1]New Mons'!AC$48,'[1]New Mons'!AC$50,'[1]New Mons'!AC$51,'[1]New Mons'!AC$53,'[1]New Mons'!AC$55,'[1]New Mons'!AC$58,'[1]New Mons'!AC$60,'[1]New Mons'!AC$62,'[1]New Mons'!AC$63,'[1]New Mons'!AC$64,'[1]New Mons'!AC$67,'[1]New Mons'!AC$68,'[1]New Mons'!AC$69,'[1]New Mons'!AC$70,'[1]New Mons'!AC$71,'[1]New Mons'!AC$72,'[1]New Mons'!AC$73,'[1]New Mons'!AC$76,'[1]New Mons'!AC$78,'[1]New Mons'!AC$79,'[1]New Mons'!AC$80,'[1]New Mons'!AC$82,'[1]New Mons'!AC$84,'[1]New Mons'!AC$85,'[1]New Mons'!AC$86, '[1]New Mons'!AC$87:AC$99)</f>
        <v>0</v>
      </c>
      <c r="AH15" s="26">
        <f>MIN('[1]New Mons'!AD$4,'[1]New Mons'!AD$7,'[1]New Mons'!AD$10,'[1]New Mons'!AD$12,'[1]New Mons'!AD$15,'[1]New Mons'!AD$18,'[1]New Mons'!AD$21,'[1]New Mons'!AD$22,'[1]New Mons'!AD$23,'[1]New Mons'!AD$25,'[1]New Mons'!AD$27,'[1]New Mons'!AD$29,'[1]New Mons'!AD$31,'[1]New Mons'!AD$32,'[1]New Mons'!AD$33,'[1]New Mons'!AD$35,'[1]New Mons'!AD$37,'[1]New Mons'!AD$39,'[1]New Mons'!AD$40,'[1]New Mons'!AD$42,'[1]New Mons'!AD$44,'[1]New Mons'!AD$45,'[1]New Mons'!AD$48,'[1]New Mons'!AD$50,'[1]New Mons'!AD$51,'[1]New Mons'!AD$53,'[1]New Mons'!AD$55,'[1]New Mons'!AD$58,'[1]New Mons'!AD$60,'[1]New Mons'!AD$62,'[1]New Mons'!AD$63,'[1]New Mons'!AD$64,'[1]New Mons'!AD$67,'[1]New Mons'!AD$68,'[1]New Mons'!AD$69,'[1]New Mons'!AD$70,'[1]New Mons'!AD$71,'[1]New Mons'!AD$72,'[1]New Mons'!AD$73,'[1]New Mons'!AD$76,'[1]New Mons'!AD$78,'[1]New Mons'!AD$79,'[1]New Mons'!AD$80,'[1]New Mons'!AD$82,'[1]New Mons'!AD$84,'[1]New Mons'!AD$85,'[1]New Mons'!AD$86, '[1]New Mons'!AD$87:AD$99)</f>
        <v>0</v>
      </c>
      <c r="AI15" s="27">
        <f>MIN('[1]New Mons'!AE$4,'[1]New Mons'!AE$7,'[1]New Mons'!AE$10,'[1]New Mons'!AE$12,'[1]New Mons'!AE$15,'[1]New Mons'!AE$18,'[1]New Mons'!AE$21,'[1]New Mons'!AE$22,'[1]New Mons'!AE$23,'[1]New Mons'!AE$25,'[1]New Mons'!AE$27,'[1]New Mons'!AE$29,'[1]New Mons'!AE$31,'[1]New Mons'!AE$32,'[1]New Mons'!AE$33,'[1]New Mons'!AE$35,'[1]New Mons'!AE$37,'[1]New Mons'!AE$39,'[1]New Mons'!AE$40,'[1]New Mons'!AE$42,'[1]New Mons'!AE$44,'[1]New Mons'!AE$45,'[1]New Mons'!AE$48,'[1]New Mons'!AE$50,'[1]New Mons'!AE$51,'[1]New Mons'!AE$53,'[1]New Mons'!AE$55,'[1]New Mons'!AE$58,'[1]New Mons'!AE$60,'[1]New Mons'!AE$62,'[1]New Mons'!AE$63,'[1]New Mons'!AE$64,'[1]New Mons'!AE$67,'[1]New Mons'!AE$68,'[1]New Mons'!AE$69,'[1]New Mons'!AE$70,'[1]New Mons'!AE$71,'[1]New Mons'!AE$72,'[1]New Mons'!AE$73,'[1]New Mons'!AE$76,'[1]New Mons'!AE$78,'[1]New Mons'!AE$79,'[1]New Mons'!AE$80,'[1]New Mons'!AE$82,'[1]New Mons'!AE$84,'[1]New Mons'!AE$85,'[1]New Mons'!AE$86, '[1]New Mons'!AE$87:AE$99)</f>
        <v>0</v>
      </c>
    </row>
    <row r="17" spans="1:17" x14ac:dyDescent="0.25">
      <c r="A17" s="37" t="s">
        <v>489</v>
      </c>
      <c r="B17" s="33" t="s">
        <v>343</v>
      </c>
      <c r="C17" s="33" t="s">
        <v>537</v>
      </c>
      <c r="D17" s="33" t="s">
        <v>345</v>
      </c>
      <c r="E17" s="33" t="s">
        <v>538</v>
      </c>
      <c r="F17" s="33" t="s">
        <v>539</v>
      </c>
      <c r="G17" s="33"/>
      <c r="H17" s="33" t="s">
        <v>491</v>
      </c>
      <c r="J17" s="39" t="s">
        <v>494</v>
      </c>
      <c r="K17" s="40"/>
      <c r="L17" s="40"/>
      <c r="M17" s="40"/>
      <c r="N17" s="40"/>
      <c r="O17" s="40"/>
      <c r="P17" s="40"/>
      <c r="Q17" s="41"/>
    </row>
    <row r="18" spans="1:17" x14ac:dyDescent="0.25">
      <c r="A18" s="29" t="s">
        <v>351</v>
      </c>
      <c r="B18">
        <f>AVERAGE('[1]New Mons'!N$2:N$86)</f>
        <v>14.337349397590362</v>
      </c>
      <c r="C18">
        <f>AVERAGE('[1]New Mons'!O$2:O$86)</f>
        <v>12.409638554216867</v>
      </c>
      <c r="D18">
        <f>AVERAGE('[1]New Mons'!P$2:P$86)</f>
        <v>8.19277108433735</v>
      </c>
      <c r="E18">
        <f>AVERAGE('[1]New Mons'!Q$2:Q$86)</f>
        <v>13.373493975903614</v>
      </c>
      <c r="F18">
        <f>AVERAGE('[1]New Mons'!R$2:R$86)</f>
        <v>16.626506024096386</v>
      </c>
      <c r="H18" s="29">
        <f>AVERAGE('[1]New Mons'!S$2:S$86)</f>
        <v>64.939759036144579</v>
      </c>
      <c r="J18" s="32" t="s">
        <v>351</v>
      </c>
      <c r="K18" s="30">
        <f>AVERAGE('[1]New Mons'!N$2:N$99)</f>
        <v>16.086956521739129</v>
      </c>
      <c r="L18" s="30">
        <f>AVERAGE('[1]New Mons'!O$2:O$99)</f>
        <v>14.891304347826088</v>
      </c>
      <c r="M18" s="30">
        <f>AVERAGE('[1]New Mons'!P$2:P$99)</f>
        <v>8.6021505376344081</v>
      </c>
      <c r="N18" s="30">
        <f>AVERAGE('[1]New Mons'!Q$2:Q$99)</f>
        <v>13.586956521739131</v>
      </c>
      <c r="O18" s="30">
        <f>AVERAGE('[1]New Mons'!R$2:R$99)</f>
        <v>18.369565217391305</v>
      </c>
      <c r="P18" s="30"/>
      <c r="Q18" s="29">
        <f>AVERAGE('[1]New Mons'!S$2:S$99)</f>
        <v>68.645833333333329</v>
      </c>
    </row>
    <row r="19" spans="1:17" x14ac:dyDescent="0.25">
      <c r="A19" s="20" t="s">
        <v>490</v>
      </c>
      <c r="B19" s="25">
        <f>MEDIAN('[1]New Mons'!N$2:N$86)</f>
        <v>10</v>
      </c>
      <c r="C19" s="25">
        <f>MEDIAN('[1]New Mons'!O$2:O$86)</f>
        <v>0</v>
      </c>
      <c r="D19" s="25">
        <f>MEDIAN('[1]New Mons'!P$2:P$86)</f>
        <v>0</v>
      </c>
      <c r="E19" s="25">
        <f>MEDIAN('[1]New Mons'!Q$2:Q$86)</f>
        <v>10</v>
      </c>
      <c r="F19" s="25">
        <f>MEDIAN('[1]New Mons'!R$2:R$86)</f>
        <v>10</v>
      </c>
      <c r="G19" s="25"/>
      <c r="H19" s="20">
        <f>MEDIAN('[1]New Mons'!S$2:S$86)</f>
        <v>70</v>
      </c>
      <c r="J19" s="33" t="s">
        <v>490</v>
      </c>
      <c r="K19" s="25">
        <f>MEDIAN('[1]New Mons'!N$2:N$99)</f>
        <v>10</v>
      </c>
      <c r="L19" s="25">
        <f>MEDIAN('[1]New Mons'!O$2:O$99)</f>
        <v>0</v>
      </c>
      <c r="M19" s="25">
        <f>MEDIAN('[1]New Mons'!P$2:P$99)</f>
        <v>0</v>
      </c>
      <c r="N19" s="25">
        <f>MEDIAN('[1]New Mons'!Q$2:Q$99)</f>
        <v>0</v>
      </c>
      <c r="O19" s="25">
        <f>MEDIAN('[1]New Mons'!R$2:R$99)</f>
        <v>10</v>
      </c>
      <c r="P19" s="25"/>
      <c r="Q19" s="20">
        <f>MEDIAN('[1]New Mons'!S$2:S$99)</f>
        <v>70</v>
      </c>
    </row>
    <row r="20" spans="1:17" x14ac:dyDescent="0.25">
      <c r="A20" s="27" t="s">
        <v>488</v>
      </c>
      <c r="B20">
        <f>_xlfn.MODE.SNGL('[1]New Mons'!N$2:N$86)</f>
        <v>0</v>
      </c>
      <c r="C20">
        <f>_xlfn.MODE.SNGL('[1]New Mons'!O$2:O$86)</f>
        <v>0</v>
      </c>
      <c r="D20">
        <f>_xlfn.MODE.SNGL('[1]New Mons'!P$2:P$86)</f>
        <v>0</v>
      </c>
      <c r="E20">
        <f>_xlfn.MODE.SNGL('[1]New Mons'!Q$2:Q$86)</f>
        <v>0</v>
      </c>
      <c r="F20">
        <f>_xlfn.MODE.SNGL('[1]New Mons'!R$2:R$86)</f>
        <v>0</v>
      </c>
      <c r="H20" s="22">
        <f>_xlfn.MODE.SNGL('[1]New Mons'!S$2:S$86)</f>
        <v>70</v>
      </c>
      <c r="J20" s="33" t="s">
        <v>488</v>
      </c>
      <c r="K20" s="30">
        <f>_xlfn.MODE.SNGL('[1]New Mons'!N$2:N$99)</f>
        <v>0</v>
      </c>
      <c r="L20" s="30">
        <f>_xlfn.MODE.SNGL('[1]New Mons'!O$2:O$99)</f>
        <v>0</v>
      </c>
      <c r="M20" s="30">
        <f>_xlfn.MODE.SNGL('[1]New Mons'!P$2:P$99)</f>
        <v>0</v>
      </c>
      <c r="N20" s="30">
        <f>_xlfn.MODE.SNGL('[1]New Mons'!Q$2:Q$99)</f>
        <v>0</v>
      </c>
      <c r="O20" s="30">
        <f>_xlfn.MODE.SNGL('[1]New Mons'!R$2:R$99)</f>
        <v>0</v>
      </c>
      <c r="P20" s="30"/>
      <c r="Q20" s="22">
        <f>_xlfn.MODE.SNGL('[1]New Mons'!S$2:S$99)</f>
        <v>70</v>
      </c>
    </row>
    <row r="21" spans="1:17" x14ac:dyDescent="0.25">
      <c r="A21" s="26" t="s">
        <v>495</v>
      </c>
      <c r="B21" s="23">
        <f>_xlfn.STDEV.P('[1]New Mons'!N$2:N$86)</f>
        <v>17.437860145909038</v>
      </c>
      <c r="C21" s="25">
        <f>_xlfn.STDEV.P('[1]New Mons'!O$2:O$86)</f>
        <v>17.739097207830927</v>
      </c>
      <c r="D21" s="25">
        <f>_xlfn.STDEV.P('[1]New Mons'!P$2:P$86)</f>
        <v>13.184929176197063</v>
      </c>
      <c r="E21" s="25">
        <f>_xlfn.STDEV.P('[1]New Mons'!Q$2:Q$86)</f>
        <v>18.054609826437776</v>
      </c>
      <c r="F21" s="25">
        <f>_xlfn.STDEV.P('[1]New Mons'!R$2:R$86)</f>
        <v>19.590820842581056</v>
      </c>
      <c r="G21" s="25"/>
      <c r="H21" s="20">
        <f>_xlfn.STDEV.P('[1]New Mons'!S$2:S$86)</f>
        <v>28.596633636909488</v>
      </c>
      <c r="J21" s="31" t="s">
        <v>495</v>
      </c>
      <c r="K21" s="23">
        <f>_xlfn.STDEV.P('[1]New Mons'!N$2:N$99)</f>
        <v>19.557969672073884</v>
      </c>
      <c r="L21" s="25">
        <f>_xlfn.STDEV.P('[1]New Mons'!O$2:O$99)</f>
        <v>20.825077129007507</v>
      </c>
      <c r="M21" s="25">
        <f>_xlfn.STDEV.P('[1]New Mons'!P$2:P$99)</f>
        <v>13.407701032917281</v>
      </c>
      <c r="N21" s="25">
        <f>_xlfn.STDEV.P('[1]New Mons'!Q$2:Q$99)</f>
        <v>18.972607355544859</v>
      </c>
      <c r="O21" s="25">
        <f>_xlfn.STDEV.P('[1]New Mons'!R$2:R$99)</f>
        <v>21.278544711242716</v>
      </c>
      <c r="P21" s="25"/>
      <c r="Q21" s="20">
        <f>_xlfn.STDEV.P('[1]New Mons'!S$2:S$99)</f>
        <v>36.61795414782511</v>
      </c>
    </row>
    <row r="22" spans="1:17" x14ac:dyDescent="0.25">
      <c r="A22" s="20" t="s">
        <v>496</v>
      </c>
      <c r="B22" s="26">
        <f>MAX('[1]New Mons'!N$2:N$86)</f>
        <v>70</v>
      </c>
      <c r="C22" s="26">
        <f>MAX('[1]New Mons'!O$2:O$86)</f>
        <v>80</v>
      </c>
      <c r="D22" s="26">
        <f>MAX('[1]New Mons'!P$2:P$86)</f>
        <v>60</v>
      </c>
      <c r="E22" s="26">
        <f>MAX('[1]New Mons'!Q$2:Q$86)</f>
        <v>90</v>
      </c>
      <c r="F22" s="26">
        <f>MAX('[1]New Mons'!R$2:R$86)</f>
        <v>90</v>
      </c>
      <c r="G22" s="26"/>
      <c r="H22" s="20">
        <f>MAX('[1]New Mons'!S$2:S$86)</f>
        <v>130</v>
      </c>
      <c r="J22" s="31" t="s">
        <v>496</v>
      </c>
      <c r="K22" s="23">
        <f>MAX('[1]New Mons'!N$2:N$99)</f>
        <v>90</v>
      </c>
      <c r="L22" s="25">
        <f>MAX('[1]New Mons'!O$2:O$99)</f>
        <v>80</v>
      </c>
      <c r="M22" s="25">
        <f>MAX('[1]New Mons'!P$2:P$99)</f>
        <v>60</v>
      </c>
      <c r="N22" s="25">
        <f>MAX('[1]New Mons'!Q$2:Q$99)</f>
        <v>90</v>
      </c>
      <c r="O22" s="25">
        <f>MAX('[1]New Mons'!R$2:R$99)</f>
        <v>90</v>
      </c>
      <c r="P22" s="28"/>
      <c r="Q22" s="29">
        <f>MAX('[1]New Mons'!S$2:S$99)</f>
        <v>160</v>
      </c>
    </row>
    <row r="23" spans="1:17" x14ac:dyDescent="0.25">
      <c r="A23" s="27" t="s">
        <v>497</v>
      </c>
      <c r="B23" s="26">
        <f>MIN('[1]New Mons'!N$2:N$86)</f>
        <v>0</v>
      </c>
      <c r="C23" s="26">
        <f>MIN('[1]New Mons'!O$2:O$86)</f>
        <v>0</v>
      </c>
      <c r="D23" s="26">
        <f>MIN('[1]New Mons'!P$2:P$86)</f>
        <v>0</v>
      </c>
      <c r="E23" s="26">
        <f>MIN('[1]New Mons'!Q$2:Q$86)</f>
        <v>0</v>
      </c>
      <c r="F23" s="26">
        <f>MIN('[1]New Mons'!R$2:R$86)</f>
        <v>0</v>
      </c>
      <c r="G23" s="26"/>
      <c r="H23" s="27">
        <f>MIN('[1]New Mons'!S$2:S$86)</f>
        <v>0</v>
      </c>
      <c r="J23" s="31" t="s">
        <v>497</v>
      </c>
      <c r="K23" s="23">
        <f>MIN('[1]New Mons'!N$2:N$99)</f>
        <v>0</v>
      </c>
      <c r="L23" s="25">
        <f>MIN('[1]New Mons'!O$2:O$99)</f>
        <v>0</v>
      </c>
      <c r="M23" s="25">
        <f>MIN('[1]New Mons'!P$2:P$99)</f>
        <v>0</v>
      </c>
      <c r="N23" s="25">
        <f>MIN('[1]New Mons'!Q$2:Q$99)</f>
        <v>0</v>
      </c>
      <c r="O23" s="25">
        <f>MIN('[1]New Mons'!R$2:R$99)</f>
        <v>0</v>
      </c>
      <c r="P23" s="25"/>
      <c r="Q23" s="20">
        <f>MIN('[1]New Mons'!S$2:S$99)</f>
        <v>0</v>
      </c>
    </row>
    <row r="24" spans="1:17" x14ac:dyDescent="0.25">
      <c r="A24" s="40" t="s">
        <v>492</v>
      </c>
      <c r="B24" s="42"/>
      <c r="C24" s="42"/>
      <c r="D24" s="42"/>
      <c r="E24" s="42"/>
      <c r="F24" s="42"/>
      <c r="G24" s="42"/>
      <c r="H24" s="43"/>
      <c r="J24" s="39" t="s">
        <v>493</v>
      </c>
      <c r="K24" s="44"/>
      <c r="L24" s="44"/>
      <c r="M24" s="44"/>
      <c r="N24" s="44"/>
      <c r="O24" s="44"/>
      <c r="P24" s="45"/>
      <c r="Q24" s="46"/>
    </row>
    <row r="25" spans="1:17" x14ac:dyDescent="0.25">
      <c r="A25" s="29" t="s">
        <v>351</v>
      </c>
      <c r="B25" s="23">
        <f>AVERAGE('[1]New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f>
        <v>20</v>
      </c>
      <c r="C25" s="25">
        <f>AVERAGE('[1]New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85.510638297872347</v>
      </c>
      <c r="D25" s="25">
        <f>AVERAGE('[1]New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82.085106382978722</v>
      </c>
      <c r="E25" s="25">
        <f>AVERAGE('[1]New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81.425531914893611</v>
      </c>
      <c r="F25" s="25">
        <f>AVERAGE('[1]New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79.106382978723403</v>
      </c>
      <c r="G25" s="25"/>
      <c r="H25" s="20">
        <f>AVERAGE('[1]New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f>
        <v>80.217391304347828</v>
      </c>
      <c r="J25" s="24" t="s">
        <v>351</v>
      </c>
      <c r="K25" s="23">
        <f>AVERAGE('[1]New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 '[1]New Mons'!N$87:N$99)</f>
        <v>22</v>
      </c>
      <c r="L25" s="25">
        <f>AVERAGE('[1]New Mons'!O$4,'[1]New Mons'!O$7,'[1]New Mons'!O$10,'[1]New Mons'!O$12,'[1]New Mons'!O$15,'[1]New Mons'!O$18,'[1]New Mons'!O$21,'[1]New Mons'!O$22,'[1]New Mons'!O$23,'[1]New Mons'!O$25,'[1]New Mons'!O$27,'[1]New Mons'!O$29,'[1]New Mons'!O$31,'[1]New Mons'!O$32,'[1]New Mons'!O$33,'[1]New Mons'!O$35,'[1]New Mons'!O$37,'[1]New Mons'!O$39,'[1]New Mons'!O$40,'[1]New Mons'!O$42,'[1]New Mons'!O$44,'[1]New Mons'!O$45,'[1]New Mons'!O$48,'[1]New Mons'!O$50,'[1]New Mons'!O$51,'[1]New Mons'!O$53,'[1]New Mons'!O$55,'[1]New Mons'!O$58,'[1]New Mons'!O$60,'[1]New Mons'!O$62,'[1]New Mons'!O$63,'[1]New Mons'!O$64,'[1]New Mons'!O$67,'[1]New Mons'!O$68,'[1]New Mons'!O$69,'[1]New Mons'!O$70,'[1]New Mons'!O$71,'[1]New Mons'!O$72,'[1]New Mons'!O$73,'[1]New Mons'!O$76,'[1]New Mons'!O$78,'[1]New Mons'!O$79,'[1]New Mons'!O$80,'[1]New Mons'!O$82,'[1]New Mons'!O$84,'[1]New Mons'!O$85,'[1]New Mons'!O$86, '[1]New Mons'!O$87:O$99)</f>
        <v>19.09090909090909</v>
      </c>
      <c r="M25" s="25">
        <f>AVERAGE('[1]New Mons'!P$4,'[1]New Mons'!P$7,'[1]New Mons'!P$10,'[1]New Mons'!P$12,'[1]New Mons'!P$15,'[1]New Mons'!P$18,'[1]New Mons'!P$21,'[1]New Mons'!P$22,'[1]New Mons'!P$23,'[1]New Mons'!P$25,'[1]New Mons'!P$27,'[1]New Mons'!P$29,'[1]New Mons'!P$31,'[1]New Mons'!P$32,'[1]New Mons'!P$33,'[1]New Mons'!P$35,'[1]New Mons'!P$37,'[1]New Mons'!P$39,'[1]New Mons'!P$40,'[1]New Mons'!P$42,'[1]New Mons'!P$44,'[1]New Mons'!P$45,'[1]New Mons'!P$48,'[1]New Mons'!P$50,'[1]New Mons'!P$51,'[1]New Mons'!P$53,'[1]New Mons'!P$55,'[1]New Mons'!P$58,'[1]New Mons'!P$60,'[1]New Mons'!P$62,'[1]New Mons'!P$63,'[1]New Mons'!P$64,'[1]New Mons'!P$67,'[1]New Mons'!P$68,'[1]New Mons'!P$69,'[1]New Mons'!P$70,'[1]New Mons'!P$71,'[1]New Mons'!P$72,'[1]New Mons'!P$73,'[1]New Mons'!P$76,'[1]New Mons'!P$78,'[1]New Mons'!P$79,'[1]New Mons'!P$80,'[1]New Mons'!P$82,'[1]New Mons'!P$84,'[1]New Mons'!P$85,'[1]New Mons'!P$86, '[1]New Mons'!P$87:P$99)</f>
        <v>7.5</v>
      </c>
      <c r="N25" s="25">
        <f>AVERAGE('[1]New Mons'!Q$4,'[1]New Mons'!Q$7,'[1]New Mons'!Q$10,'[1]New Mons'!Q$12,'[1]New Mons'!Q$15,'[1]New Mons'!Q$18,'[1]New Mons'!Q$21,'[1]New Mons'!Q$22,'[1]New Mons'!Q$23,'[1]New Mons'!Q$25,'[1]New Mons'!Q$27,'[1]New Mons'!Q$29,'[1]New Mons'!Q$31,'[1]New Mons'!Q$32,'[1]New Mons'!Q$33,'[1]New Mons'!Q$35,'[1]New Mons'!Q$37,'[1]New Mons'!Q$39,'[1]New Mons'!Q$40,'[1]New Mons'!Q$42,'[1]New Mons'!Q$44,'[1]New Mons'!Q$45,'[1]New Mons'!Q$48,'[1]New Mons'!Q$50,'[1]New Mons'!Q$51,'[1]New Mons'!Q$53,'[1]New Mons'!Q$55,'[1]New Mons'!Q$58,'[1]New Mons'!Q$60,'[1]New Mons'!Q$62,'[1]New Mons'!Q$63,'[1]New Mons'!Q$64,'[1]New Mons'!Q$67,'[1]New Mons'!Q$68,'[1]New Mons'!Q$69,'[1]New Mons'!Q$70,'[1]New Mons'!Q$71,'[1]New Mons'!Q$72,'[1]New Mons'!Q$73,'[1]New Mons'!Q$76,'[1]New Mons'!Q$78,'[1]New Mons'!Q$79,'[1]New Mons'!Q$80,'[1]New Mons'!Q$82,'[1]New Mons'!Q$84,'[1]New Mons'!Q$85,'[1]New Mons'!Q$86, '[1]New Mons'!Q$87:Q$99)</f>
        <v>16.727272727272727</v>
      </c>
      <c r="O25" s="25">
        <f>AVERAGE('[1]New Mons'!R$4,'[1]New Mons'!R$7,'[1]New Mons'!R$10,'[1]New Mons'!R$12,'[1]New Mons'!R$15,'[1]New Mons'!R$18,'[1]New Mons'!R$21,'[1]New Mons'!R$22,'[1]New Mons'!R$23,'[1]New Mons'!R$25,'[1]New Mons'!R$27,'[1]New Mons'!R$29,'[1]New Mons'!R$31,'[1]New Mons'!R$32,'[1]New Mons'!R$33,'[1]New Mons'!R$35,'[1]New Mons'!R$37,'[1]New Mons'!R$39,'[1]New Mons'!R$40,'[1]New Mons'!R$42,'[1]New Mons'!R$44,'[1]New Mons'!R$45,'[1]New Mons'!R$48,'[1]New Mons'!R$50,'[1]New Mons'!R$51,'[1]New Mons'!R$53,'[1]New Mons'!R$55,'[1]New Mons'!R$58,'[1]New Mons'!R$60,'[1]New Mons'!R$62,'[1]New Mons'!R$63,'[1]New Mons'!R$64,'[1]New Mons'!R$67,'[1]New Mons'!R$68,'[1]New Mons'!R$69,'[1]New Mons'!R$70,'[1]New Mons'!R$71,'[1]New Mons'!R$72,'[1]New Mons'!R$73,'[1]New Mons'!R$76,'[1]New Mons'!R$78,'[1]New Mons'!R$79,'[1]New Mons'!R$80,'[1]New Mons'!R$82,'[1]New Mons'!R$84,'[1]New Mons'!R$85,'[1]New Mons'!R$86, '[1]New Mons'!R$87:R$99)</f>
        <v>23.454545454545453</v>
      </c>
      <c r="P25" s="28"/>
      <c r="Q25" s="29">
        <f>AVERAGE('[1]New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 '[1]New Mons'!S$87:S$99)</f>
        <v>82.881355932203391</v>
      </c>
    </row>
    <row r="26" spans="1:17" x14ac:dyDescent="0.25">
      <c r="A26" s="20" t="s">
        <v>490</v>
      </c>
      <c r="B26">
        <f>MEDIAN('[1]New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f>
        <v>20</v>
      </c>
      <c r="C26">
        <f>MEDIAN('[1]New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87</v>
      </c>
      <c r="D26">
        <f>MEDIAN('[1]New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80</v>
      </c>
      <c r="E26">
        <f>MEDIAN('[1]New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83</v>
      </c>
      <c r="F26">
        <f>MEDIAN('[1]New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75</v>
      </c>
      <c r="H26" s="22">
        <f>MEDIAN('[1]New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f>
        <v>80</v>
      </c>
      <c r="J26" s="23" t="s">
        <v>490</v>
      </c>
      <c r="K26" s="23">
        <f>MEDIAN('[1]New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 '[1]New Mons'!N$87:N$99)</f>
        <v>20</v>
      </c>
      <c r="L26" s="25">
        <f>MEDIAN('[1]New Mons'!O$4,'[1]New Mons'!O$7,'[1]New Mons'!O$10,'[1]New Mons'!O$12,'[1]New Mons'!O$15,'[1]New Mons'!O$18,'[1]New Mons'!O$21,'[1]New Mons'!O$22,'[1]New Mons'!O$23,'[1]New Mons'!O$25,'[1]New Mons'!O$27,'[1]New Mons'!O$29,'[1]New Mons'!O$31,'[1]New Mons'!O$32,'[1]New Mons'!O$33,'[1]New Mons'!O$35,'[1]New Mons'!O$37,'[1]New Mons'!O$39,'[1]New Mons'!O$40,'[1]New Mons'!O$42,'[1]New Mons'!O$44,'[1]New Mons'!O$45,'[1]New Mons'!O$48,'[1]New Mons'!O$50,'[1]New Mons'!O$51,'[1]New Mons'!O$53,'[1]New Mons'!O$55,'[1]New Mons'!O$58,'[1]New Mons'!O$60,'[1]New Mons'!O$62,'[1]New Mons'!O$63,'[1]New Mons'!O$64,'[1]New Mons'!O$67,'[1]New Mons'!O$68,'[1]New Mons'!O$69,'[1]New Mons'!O$70,'[1]New Mons'!O$71,'[1]New Mons'!O$72,'[1]New Mons'!O$73,'[1]New Mons'!O$76,'[1]New Mons'!O$78,'[1]New Mons'!O$79,'[1]New Mons'!O$80,'[1]New Mons'!O$82,'[1]New Mons'!O$84,'[1]New Mons'!O$85,'[1]New Mons'!O$86, '[1]New Mons'!O$87:O$99)</f>
        <v>10</v>
      </c>
      <c r="M26" s="25">
        <f>MEDIAN('[1]New Mons'!P$4,'[1]New Mons'!P$7,'[1]New Mons'!P$10,'[1]New Mons'!P$12,'[1]New Mons'!P$15,'[1]New Mons'!P$18,'[1]New Mons'!P$21,'[1]New Mons'!P$22,'[1]New Mons'!P$23,'[1]New Mons'!P$25,'[1]New Mons'!P$27,'[1]New Mons'!P$29,'[1]New Mons'!P$31,'[1]New Mons'!P$32,'[1]New Mons'!P$33,'[1]New Mons'!P$35,'[1]New Mons'!P$37,'[1]New Mons'!P$39,'[1]New Mons'!P$40,'[1]New Mons'!P$42,'[1]New Mons'!P$44,'[1]New Mons'!P$45,'[1]New Mons'!P$48,'[1]New Mons'!P$50,'[1]New Mons'!P$51,'[1]New Mons'!P$53,'[1]New Mons'!P$55,'[1]New Mons'!P$58,'[1]New Mons'!P$60,'[1]New Mons'!P$62,'[1]New Mons'!P$63,'[1]New Mons'!P$64,'[1]New Mons'!P$67,'[1]New Mons'!P$68,'[1]New Mons'!P$69,'[1]New Mons'!P$70,'[1]New Mons'!P$71,'[1]New Mons'!P$72,'[1]New Mons'!P$73,'[1]New Mons'!P$76,'[1]New Mons'!P$78,'[1]New Mons'!P$79,'[1]New Mons'!P$80,'[1]New Mons'!P$82,'[1]New Mons'!P$84,'[1]New Mons'!P$85,'[1]New Mons'!P$86, '[1]New Mons'!P$87:P$99)</f>
        <v>0</v>
      </c>
      <c r="N26" s="25">
        <f>MEDIAN('[1]New Mons'!Q$4,'[1]New Mons'!Q$7,'[1]New Mons'!Q$10,'[1]New Mons'!Q$12,'[1]New Mons'!Q$15,'[1]New Mons'!Q$18,'[1]New Mons'!Q$21,'[1]New Mons'!Q$22,'[1]New Mons'!Q$23,'[1]New Mons'!Q$25,'[1]New Mons'!Q$27,'[1]New Mons'!Q$29,'[1]New Mons'!Q$31,'[1]New Mons'!Q$32,'[1]New Mons'!Q$33,'[1]New Mons'!Q$35,'[1]New Mons'!Q$37,'[1]New Mons'!Q$39,'[1]New Mons'!Q$40,'[1]New Mons'!Q$42,'[1]New Mons'!Q$44,'[1]New Mons'!Q$45,'[1]New Mons'!Q$48,'[1]New Mons'!Q$50,'[1]New Mons'!Q$51,'[1]New Mons'!Q$53,'[1]New Mons'!Q$55,'[1]New Mons'!Q$58,'[1]New Mons'!Q$60,'[1]New Mons'!Q$62,'[1]New Mons'!Q$63,'[1]New Mons'!Q$64,'[1]New Mons'!Q$67,'[1]New Mons'!Q$68,'[1]New Mons'!Q$69,'[1]New Mons'!Q$70,'[1]New Mons'!Q$71,'[1]New Mons'!Q$72,'[1]New Mons'!Q$73,'[1]New Mons'!Q$76,'[1]New Mons'!Q$78,'[1]New Mons'!Q$79,'[1]New Mons'!Q$80,'[1]New Mons'!Q$82,'[1]New Mons'!Q$84,'[1]New Mons'!Q$85,'[1]New Mons'!Q$86, '[1]New Mons'!Q$87:Q$99)</f>
        <v>0</v>
      </c>
      <c r="O26" s="25">
        <f>MEDIAN('[1]New Mons'!R$4,'[1]New Mons'!R$7,'[1]New Mons'!R$10,'[1]New Mons'!R$12,'[1]New Mons'!R$15,'[1]New Mons'!R$18,'[1]New Mons'!R$21,'[1]New Mons'!R$22,'[1]New Mons'!R$23,'[1]New Mons'!R$25,'[1]New Mons'!R$27,'[1]New Mons'!R$29,'[1]New Mons'!R$31,'[1]New Mons'!R$32,'[1]New Mons'!R$33,'[1]New Mons'!R$35,'[1]New Mons'!R$37,'[1]New Mons'!R$39,'[1]New Mons'!R$40,'[1]New Mons'!R$42,'[1]New Mons'!R$44,'[1]New Mons'!R$45,'[1]New Mons'!R$48,'[1]New Mons'!R$50,'[1]New Mons'!R$51,'[1]New Mons'!R$53,'[1]New Mons'!R$55,'[1]New Mons'!R$58,'[1]New Mons'!R$60,'[1]New Mons'!R$62,'[1]New Mons'!R$63,'[1]New Mons'!R$64,'[1]New Mons'!R$67,'[1]New Mons'!R$68,'[1]New Mons'!R$69,'[1]New Mons'!R$70,'[1]New Mons'!R$71,'[1]New Mons'!R$72,'[1]New Mons'!R$73,'[1]New Mons'!R$76,'[1]New Mons'!R$78,'[1]New Mons'!R$79,'[1]New Mons'!R$80,'[1]New Mons'!R$82,'[1]New Mons'!R$84,'[1]New Mons'!R$85,'[1]New Mons'!R$86, '[1]New Mons'!R$87:R$99)</f>
        <v>20</v>
      </c>
      <c r="P26" s="28"/>
      <c r="Q26" s="29">
        <f>MEDIAN('[1]New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 '[1]New Mons'!S$87:S$99)</f>
        <v>80</v>
      </c>
    </row>
    <row r="27" spans="1:17" x14ac:dyDescent="0.25">
      <c r="A27" s="20" t="s">
        <v>488</v>
      </c>
      <c r="B27" s="28">
        <f>MODE('[1]New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Mons'!N$76,'[1]New Mons'!N$78,'[1]New Mons'!N$79,'[1]New Mons'!N$80,'[1]New Mons'!N$82,'[1]New Mons'!N$84,'[1]New Mons'!N$85,'[1]New Mons'!N$86)</f>
        <v>0</v>
      </c>
      <c r="C27" s="28">
        <f>MODE('[1]New Mons'!O$4,'[1]New Mons'!O$7,'[1]New Mons'!O$10,'[1]New Mons'!O$12,'[1]New Mons'!O$15,'[1]New Mons'!O$18,'[1]New Mons'!O$21,'[1]New Mons'!O$22,'[1]New Mons'!O$23,'[1]New Mons'!O$25,'[1]New Mons'!O$27,'[1]New Mons'!O$29,'[1]New Mons'!O$31,'[1]New Mons'!O$32,'[1]New Mons'!O$33,'[1]New Mons'!O$35,'[1]New Mons'!O$37,'[1]New Mons'!O$39,'[1]New Mons'!O$40,'[1]New Mons'!O$42,'[1]New Mons'!O$44,'[1]New Mons'!O$45,'[1]New Mons'!O$48,'[1]New Mons'!O$50,'[1]New Mons'!O$51,'[1]New Mons'!O$53,'[1]New Mons'!O$55,'[1]New Mons'!O$58,'[1]New Mons'!O$60,'[1]New Mons'!O$62,'[1]New Mons'!O$63,'[1]New Mons'!O$64,'[1]New Mons'!O$67,'[1]New Mons'!O$68,'[1]New Mons'!O$69,'[1]New Mons'!O$70,'[1]New Mons'!O$71,'[1]New Mons'!O$72,'[1]New Mons'!O$76,'[1]New Mons'!O$78,'[1]New Mons'!O$79,'[1]New Mons'!O$80,'[1]New Mons'!O$82,'[1]New Mons'!O$84,'[1]New Mons'!O$85,'[1]New Mons'!O$86)</f>
        <v>0</v>
      </c>
      <c r="D27" s="28">
        <f>MODE('[1]New Mons'!P$4,'[1]New Mons'!P$7,'[1]New Mons'!P$10,'[1]New Mons'!P$12,'[1]New Mons'!P$15,'[1]New Mons'!P$18,'[1]New Mons'!P$21,'[1]New Mons'!P$22,'[1]New Mons'!P$23,'[1]New Mons'!P$25,'[1]New Mons'!P$27,'[1]New Mons'!P$29,'[1]New Mons'!P$31,'[1]New Mons'!P$32,'[1]New Mons'!P$33,'[1]New Mons'!P$35,'[1]New Mons'!P$37,'[1]New Mons'!P$39,'[1]New Mons'!P$40,'[1]New Mons'!P$42,'[1]New Mons'!P$44,'[1]New Mons'!P$45,'[1]New Mons'!P$48,'[1]New Mons'!P$50,'[1]New Mons'!P$51,'[1]New Mons'!P$53,'[1]New Mons'!P$55,'[1]New Mons'!P$58,'[1]New Mons'!P$60,'[1]New Mons'!P$62,'[1]New Mons'!P$63,'[1]New Mons'!P$64,'[1]New Mons'!P$67,'[1]New Mons'!P$68,'[1]New Mons'!P$69,'[1]New Mons'!P$70,'[1]New Mons'!P$71,'[1]New Mons'!P$72,'[1]New Mons'!P$76,'[1]New Mons'!P$78,'[1]New Mons'!P$79,'[1]New Mons'!P$80,'[1]New Mons'!P$82,'[1]New Mons'!P$84,'[1]New Mons'!P$85,'[1]New Mons'!P$86)</f>
        <v>0</v>
      </c>
      <c r="E27" s="28">
        <f>MODE('[1]New Mons'!Q$4,'[1]New Mons'!Q$7,'[1]New Mons'!Q$10,'[1]New Mons'!Q$12,'[1]New Mons'!Q$15,'[1]New Mons'!Q$18,'[1]New Mons'!Q$21,'[1]New Mons'!Q$22,'[1]New Mons'!Q$23,'[1]New Mons'!Q$25,'[1]New Mons'!Q$27,'[1]New Mons'!Q$29,'[1]New Mons'!Q$31,'[1]New Mons'!Q$32,'[1]New Mons'!Q$33,'[1]New Mons'!Q$35,'[1]New Mons'!Q$37,'[1]New Mons'!Q$39,'[1]New Mons'!Q$40,'[1]New Mons'!Q$42,'[1]New Mons'!Q$44,'[1]New Mons'!Q$45,'[1]New Mons'!Q$48,'[1]New Mons'!Q$50,'[1]New Mons'!Q$51,'[1]New Mons'!Q$53,'[1]New Mons'!Q$55,'[1]New Mons'!Q$58,'[1]New Mons'!Q$60,'[1]New Mons'!Q$62,'[1]New Mons'!Q$63,'[1]New Mons'!Q$64,'[1]New Mons'!Q$67,'[1]New Mons'!Q$68,'[1]New Mons'!Q$69,'[1]New Mons'!Q$70,'[1]New Mons'!Q$71,'[1]New Mons'!Q$72,'[1]New Mons'!Q$76,'[1]New Mons'!Q$78,'[1]New Mons'!Q$79,'[1]New Mons'!Q$80,'[1]New Mons'!Q$82,'[1]New Mons'!Q$84,'[1]New Mons'!Q$85,'[1]New Mons'!Q$86)</f>
        <v>0</v>
      </c>
      <c r="F27" s="28">
        <f>MODE('[1]New Mons'!R$4,'[1]New Mons'!R$7,'[1]New Mons'!R$10,'[1]New Mons'!R$12,'[1]New Mons'!R$15,'[1]New Mons'!R$18,'[1]New Mons'!R$21,'[1]New Mons'!R$22,'[1]New Mons'!R$23,'[1]New Mons'!R$25,'[1]New Mons'!R$27,'[1]New Mons'!R$29,'[1]New Mons'!R$31,'[1]New Mons'!R$32,'[1]New Mons'!R$33,'[1]New Mons'!R$35,'[1]New Mons'!R$37,'[1]New Mons'!R$39,'[1]New Mons'!R$40,'[1]New Mons'!R$42,'[1]New Mons'!R$44,'[1]New Mons'!R$45,'[1]New Mons'!R$48,'[1]New Mons'!R$50,'[1]New Mons'!R$51,'[1]New Mons'!R$53,'[1]New Mons'!R$55,'[1]New Mons'!R$58,'[1]New Mons'!R$60,'[1]New Mons'!R$62,'[1]New Mons'!R$63,'[1]New Mons'!R$64,'[1]New Mons'!R$67,'[1]New Mons'!R$68,'[1]New Mons'!R$69,'[1]New Mons'!R$70,'[1]New Mons'!R$71,'[1]New Mons'!R$72,'[1]New Mons'!R$76,'[1]New Mons'!R$78,'[1]New Mons'!R$79,'[1]New Mons'!R$80,'[1]New Mons'!R$82,'[1]New Mons'!R$84,'[1]New Mons'!R$85,'[1]New Mons'!R$86)</f>
        <v>0</v>
      </c>
      <c r="G27" s="28"/>
      <c r="H27" s="29">
        <f>MODE('[1]New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Mons'!S$76,'[1]New Mons'!S$78,'[1]New Mons'!S$79,'[1]New Mons'!S$80,'[1]New Mons'!S$82,'[1]New Mons'!S$84,'[1]New Mons'!S$85,'[1]New Mons'!S$86)</f>
        <v>70</v>
      </c>
      <c r="J27" s="23" t="s">
        <v>488</v>
      </c>
      <c r="K27" s="23">
        <f>MODE('[1]New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Mons'!N$76,'[1]New Mons'!N$78,'[1]New Mons'!N$79,'[1]New Mons'!N$80,'[1]New Mons'!N$82,'[1]New Mons'!N$84,'[1]New Mons'!N$85,'[1]New Mons'!N$86, '[1]New Mons'!N$87:N$99)</f>
        <v>0</v>
      </c>
      <c r="L27" s="25">
        <f>MODE('[1]New Mons'!O$4,'[1]New Mons'!O$7,'[1]New Mons'!O$10,'[1]New Mons'!O$12,'[1]New Mons'!O$15,'[1]New Mons'!O$18,'[1]New Mons'!O$21,'[1]New Mons'!O$22,'[1]New Mons'!O$23,'[1]New Mons'!O$25,'[1]New Mons'!O$27,'[1]New Mons'!O$29,'[1]New Mons'!O$31,'[1]New Mons'!O$32,'[1]New Mons'!O$33,'[1]New Mons'!O$35,'[1]New Mons'!O$37,'[1]New Mons'!O$39,'[1]New Mons'!O$40,'[1]New Mons'!O$42,'[1]New Mons'!O$44,'[1]New Mons'!O$45,'[1]New Mons'!O$48,'[1]New Mons'!O$50,'[1]New Mons'!O$51,'[1]New Mons'!O$53,'[1]New Mons'!O$55,'[1]New Mons'!O$58,'[1]New Mons'!O$60,'[1]New Mons'!O$62,'[1]New Mons'!O$63,'[1]New Mons'!O$64,'[1]New Mons'!O$67,'[1]New Mons'!O$68,'[1]New Mons'!O$69,'[1]New Mons'!O$70,'[1]New Mons'!O$71,'[1]New Mons'!O$72,'[1]New Mons'!O$76,'[1]New Mons'!O$78,'[1]New Mons'!O$79,'[1]New Mons'!O$80,'[1]New Mons'!O$82,'[1]New Mons'!O$84,'[1]New Mons'!O$85,'[1]New Mons'!O$86, '[1]New Mons'!O$87:O$99)</f>
        <v>0</v>
      </c>
      <c r="M27" s="25">
        <f>MODE('[1]New Mons'!P$4,'[1]New Mons'!P$7,'[1]New Mons'!P$10,'[1]New Mons'!P$12,'[1]New Mons'!P$15,'[1]New Mons'!P$18,'[1]New Mons'!P$21,'[1]New Mons'!P$22,'[1]New Mons'!P$23,'[1]New Mons'!P$25,'[1]New Mons'!P$27,'[1]New Mons'!P$29,'[1]New Mons'!P$31,'[1]New Mons'!P$32,'[1]New Mons'!P$33,'[1]New Mons'!P$35,'[1]New Mons'!P$37,'[1]New Mons'!P$39,'[1]New Mons'!P$40,'[1]New Mons'!P$42,'[1]New Mons'!P$44,'[1]New Mons'!P$45,'[1]New Mons'!P$48,'[1]New Mons'!P$50,'[1]New Mons'!P$51,'[1]New Mons'!P$53,'[1]New Mons'!P$55,'[1]New Mons'!P$58,'[1]New Mons'!P$60,'[1]New Mons'!P$62,'[1]New Mons'!P$63,'[1]New Mons'!P$64,'[1]New Mons'!P$67,'[1]New Mons'!P$68,'[1]New Mons'!P$69,'[1]New Mons'!P$70,'[1]New Mons'!P$71,'[1]New Mons'!P$72,'[1]New Mons'!P$76,'[1]New Mons'!P$78,'[1]New Mons'!P$79,'[1]New Mons'!P$80,'[1]New Mons'!P$82,'[1]New Mons'!P$84,'[1]New Mons'!P$85,'[1]New Mons'!P$86, '[1]New Mons'!P$87:P$99)</f>
        <v>0</v>
      </c>
      <c r="N27" s="25">
        <f>MODE('[1]New Mons'!Q$4,'[1]New Mons'!Q$7,'[1]New Mons'!Q$10,'[1]New Mons'!Q$12,'[1]New Mons'!Q$15,'[1]New Mons'!Q$18,'[1]New Mons'!Q$21,'[1]New Mons'!Q$22,'[1]New Mons'!Q$23,'[1]New Mons'!Q$25,'[1]New Mons'!Q$27,'[1]New Mons'!Q$29,'[1]New Mons'!Q$31,'[1]New Mons'!Q$32,'[1]New Mons'!Q$33,'[1]New Mons'!Q$35,'[1]New Mons'!Q$37,'[1]New Mons'!Q$39,'[1]New Mons'!Q$40,'[1]New Mons'!Q$42,'[1]New Mons'!Q$44,'[1]New Mons'!Q$45,'[1]New Mons'!Q$48,'[1]New Mons'!Q$50,'[1]New Mons'!Q$51,'[1]New Mons'!Q$53,'[1]New Mons'!Q$55,'[1]New Mons'!Q$58,'[1]New Mons'!Q$60,'[1]New Mons'!Q$62,'[1]New Mons'!Q$63,'[1]New Mons'!Q$64,'[1]New Mons'!Q$67,'[1]New Mons'!Q$68,'[1]New Mons'!Q$69,'[1]New Mons'!Q$70,'[1]New Mons'!Q$71,'[1]New Mons'!Q$72,'[1]New Mons'!Q$76,'[1]New Mons'!Q$78,'[1]New Mons'!Q$79,'[1]New Mons'!Q$80,'[1]New Mons'!Q$82,'[1]New Mons'!Q$84,'[1]New Mons'!Q$85,'[1]New Mons'!Q$86, '[1]New Mons'!Q$87:Q$99)</f>
        <v>0</v>
      </c>
      <c r="O27" s="25">
        <f>MODE('[1]New Mons'!R$4,'[1]New Mons'!R$7,'[1]New Mons'!R$10,'[1]New Mons'!R$12,'[1]New Mons'!R$15,'[1]New Mons'!R$18,'[1]New Mons'!R$21,'[1]New Mons'!R$22,'[1]New Mons'!R$23,'[1]New Mons'!R$25,'[1]New Mons'!R$27,'[1]New Mons'!R$29,'[1]New Mons'!R$31,'[1]New Mons'!R$32,'[1]New Mons'!R$33,'[1]New Mons'!R$35,'[1]New Mons'!R$37,'[1]New Mons'!R$39,'[1]New Mons'!R$40,'[1]New Mons'!R$42,'[1]New Mons'!R$44,'[1]New Mons'!R$45,'[1]New Mons'!R$48,'[1]New Mons'!R$50,'[1]New Mons'!R$51,'[1]New Mons'!R$53,'[1]New Mons'!R$55,'[1]New Mons'!R$58,'[1]New Mons'!R$60,'[1]New Mons'!R$62,'[1]New Mons'!R$63,'[1]New Mons'!R$64,'[1]New Mons'!R$67,'[1]New Mons'!R$68,'[1]New Mons'!R$69,'[1]New Mons'!R$70,'[1]New Mons'!R$71,'[1]New Mons'!R$72,'[1]New Mons'!R$76,'[1]New Mons'!R$78,'[1]New Mons'!R$79,'[1]New Mons'!R$80,'[1]New Mons'!R$82,'[1]New Mons'!R$84,'[1]New Mons'!R$85,'[1]New Mons'!R$86, '[1]New Mons'!R$87:R$99)</f>
        <v>0</v>
      </c>
      <c r="P27" s="25"/>
      <c r="Q27" s="20">
        <f>MODE('[1]New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Mons'!S$76,'[1]New Mons'!S$78,'[1]New Mons'!S$79,'[1]New Mons'!S$80,'[1]New Mons'!S$82,'[1]New Mons'!S$84,'[1]New Mons'!S$85,'[1]New Mons'!S$86, '[1]New Mons'!S$87:S$99)</f>
        <v>120</v>
      </c>
    </row>
    <row r="28" spans="1:17" x14ac:dyDescent="0.25">
      <c r="A28" s="26" t="s">
        <v>495</v>
      </c>
      <c r="B28" s="24">
        <f>_xlfn.STDEV.P('[1]New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f>
        <v>20</v>
      </c>
      <c r="C28" s="28">
        <f>_xlfn.STDEV.P('[1]New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28.867173685933516</v>
      </c>
      <c r="D28" s="28">
        <f>_xlfn.STDEV.P('[1]New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27.832959022845667</v>
      </c>
      <c r="E28" s="28">
        <f>_xlfn.STDEV.P('[1]New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22.41555755411289</v>
      </c>
      <c r="F28" s="28">
        <f>_xlfn.STDEV.P('[1]New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27.113029012567111</v>
      </c>
      <c r="G28" s="28"/>
      <c r="H28" s="29">
        <f>_xlfn.STDEV.P('[1]New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f>
        <v>24.802623496822708</v>
      </c>
      <c r="J28" s="31" t="s">
        <v>495</v>
      </c>
      <c r="K28" s="23">
        <f>_xlfn.STDEV.P('[1]New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 '[1]New Mons'!N$87:N$99)</f>
        <v>22.107176950648238</v>
      </c>
      <c r="L28" s="25">
        <f>_xlfn.STDEV.P('[1]New Mons'!O$4,'[1]New Mons'!O$7,'[1]New Mons'!O$10,'[1]New Mons'!O$12,'[1]New Mons'!O$15,'[1]New Mons'!O$18,'[1]New Mons'!O$21,'[1]New Mons'!O$22,'[1]New Mons'!O$23,'[1]New Mons'!O$25,'[1]New Mons'!O$27,'[1]New Mons'!O$29,'[1]New Mons'!O$31,'[1]New Mons'!O$32,'[1]New Mons'!O$33,'[1]New Mons'!O$35,'[1]New Mons'!O$37,'[1]New Mons'!O$39,'[1]New Mons'!O$40,'[1]New Mons'!O$42,'[1]New Mons'!O$44,'[1]New Mons'!O$45,'[1]New Mons'!O$48,'[1]New Mons'!O$50,'[1]New Mons'!O$51,'[1]New Mons'!O$53,'[1]New Mons'!O$55,'[1]New Mons'!O$58,'[1]New Mons'!O$60,'[1]New Mons'!O$62,'[1]New Mons'!O$63,'[1]New Mons'!O$64,'[1]New Mons'!O$67,'[1]New Mons'!O$68,'[1]New Mons'!O$69,'[1]New Mons'!O$70,'[1]New Mons'!O$71,'[1]New Mons'!O$72,'[1]New Mons'!O$73,'[1]New Mons'!O$76,'[1]New Mons'!O$78,'[1]New Mons'!O$79,'[1]New Mons'!O$80,'[1]New Mons'!O$82,'[1]New Mons'!O$84,'[1]New Mons'!O$85,'[1]New Mons'!O$86, '[1]New Mons'!O$87:O$99)</f>
        <v>23.761904367570239</v>
      </c>
      <c r="M28" s="25">
        <f>_xlfn.STDEV.P('[1]New Mons'!P$4,'[1]New Mons'!P$7,'[1]New Mons'!P$10,'[1]New Mons'!P$12,'[1]New Mons'!P$15,'[1]New Mons'!P$18,'[1]New Mons'!P$21,'[1]New Mons'!P$22,'[1]New Mons'!P$23,'[1]New Mons'!P$25,'[1]New Mons'!P$27,'[1]New Mons'!P$29,'[1]New Mons'!P$31,'[1]New Mons'!P$32,'[1]New Mons'!P$33,'[1]New Mons'!P$35,'[1]New Mons'!P$37,'[1]New Mons'!P$39,'[1]New Mons'!P$40,'[1]New Mons'!P$42,'[1]New Mons'!P$44,'[1]New Mons'!P$45,'[1]New Mons'!P$48,'[1]New Mons'!P$50,'[1]New Mons'!P$51,'[1]New Mons'!P$53,'[1]New Mons'!P$55,'[1]New Mons'!P$58,'[1]New Mons'!P$60,'[1]New Mons'!P$62,'[1]New Mons'!P$63,'[1]New Mons'!P$64,'[1]New Mons'!P$67,'[1]New Mons'!P$68,'[1]New Mons'!P$69,'[1]New Mons'!P$70,'[1]New Mons'!P$71,'[1]New Mons'!P$72,'[1]New Mons'!P$73,'[1]New Mons'!P$76,'[1]New Mons'!P$78,'[1]New Mons'!P$79,'[1]New Mons'!P$80,'[1]New Mons'!P$82,'[1]New Mons'!P$84,'[1]New Mons'!P$85,'[1]New Mons'!P$86, '[1]New Mons'!P$87:P$99)</f>
        <v>13.660422499218056</v>
      </c>
      <c r="N28" s="25">
        <f>_xlfn.STDEV.P('[1]New Mons'!Q$4,'[1]New Mons'!Q$7,'[1]New Mons'!Q$10,'[1]New Mons'!Q$12,'[1]New Mons'!Q$15,'[1]New Mons'!Q$18,'[1]New Mons'!Q$21,'[1]New Mons'!Q$22,'[1]New Mons'!Q$23,'[1]New Mons'!Q$25,'[1]New Mons'!Q$27,'[1]New Mons'!Q$29,'[1]New Mons'!Q$31,'[1]New Mons'!Q$32,'[1]New Mons'!Q$33,'[1]New Mons'!Q$35,'[1]New Mons'!Q$37,'[1]New Mons'!Q$39,'[1]New Mons'!Q$40,'[1]New Mons'!Q$42,'[1]New Mons'!Q$44,'[1]New Mons'!Q$45,'[1]New Mons'!Q$48,'[1]New Mons'!Q$50,'[1]New Mons'!Q$51,'[1]New Mons'!Q$53,'[1]New Mons'!Q$55,'[1]New Mons'!Q$58,'[1]New Mons'!Q$60,'[1]New Mons'!Q$62,'[1]New Mons'!Q$63,'[1]New Mons'!Q$64,'[1]New Mons'!Q$67,'[1]New Mons'!Q$68,'[1]New Mons'!Q$69,'[1]New Mons'!Q$70,'[1]New Mons'!Q$71,'[1]New Mons'!Q$72,'[1]New Mons'!Q$73,'[1]New Mons'!Q$76,'[1]New Mons'!Q$78,'[1]New Mons'!Q$79,'[1]New Mons'!Q$80,'[1]New Mons'!Q$82,'[1]New Mons'!Q$84,'[1]New Mons'!Q$85,'[1]New Mons'!Q$86, '[1]New Mons'!Q$87:Q$99)</f>
        <v>21.996243105216891</v>
      </c>
      <c r="O28" s="25">
        <f>_xlfn.STDEV.P('[1]New Mons'!R$4,'[1]New Mons'!R$7,'[1]New Mons'!R$10,'[1]New Mons'!R$12,'[1]New Mons'!R$15,'[1]New Mons'!R$18,'[1]New Mons'!R$21,'[1]New Mons'!R$22,'[1]New Mons'!R$23,'[1]New Mons'!R$25,'[1]New Mons'!R$27,'[1]New Mons'!R$29,'[1]New Mons'!R$31,'[1]New Mons'!R$32,'[1]New Mons'!R$33,'[1]New Mons'!R$35,'[1]New Mons'!R$37,'[1]New Mons'!R$39,'[1]New Mons'!R$40,'[1]New Mons'!R$42,'[1]New Mons'!R$44,'[1]New Mons'!R$45,'[1]New Mons'!R$48,'[1]New Mons'!R$50,'[1]New Mons'!R$51,'[1]New Mons'!R$53,'[1]New Mons'!R$55,'[1]New Mons'!R$58,'[1]New Mons'!R$60,'[1]New Mons'!R$62,'[1]New Mons'!R$63,'[1]New Mons'!R$64,'[1]New Mons'!R$67,'[1]New Mons'!R$68,'[1]New Mons'!R$69,'[1]New Mons'!R$70,'[1]New Mons'!R$71,'[1]New Mons'!R$72,'[1]New Mons'!R$73,'[1]New Mons'!R$76,'[1]New Mons'!R$78,'[1]New Mons'!R$79,'[1]New Mons'!R$80,'[1]New Mons'!R$82,'[1]New Mons'!R$84,'[1]New Mons'!R$85,'[1]New Mons'!R$86, '[1]New Mons'!R$87:R$99)</f>
        <v>23.449611884222328</v>
      </c>
      <c r="P28" s="25"/>
      <c r="Q28" s="20">
        <f>_xlfn.STDEV.P('[1]New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 '[1]New Mons'!S$87:S$99)</f>
        <v>37.328175728880638</v>
      </c>
    </row>
    <row r="29" spans="1:17" x14ac:dyDescent="0.25">
      <c r="A29" s="26" t="s">
        <v>496</v>
      </c>
      <c r="B29" s="23">
        <f>MAX('[1]New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f>
        <v>70</v>
      </c>
      <c r="C29" s="25">
        <f>MAX('[1]New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149</v>
      </c>
      <c r="D29" s="25">
        <f>MAX('[1]New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150</v>
      </c>
      <c r="E29" s="25">
        <f>MAX('[1]New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128</v>
      </c>
      <c r="F29" s="25">
        <f>MAX('[1]New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175</v>
      </c>
      <c r="G29" s="25"/>
      <c r="H29" s="20">
        <f>MAX('[1]New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f>
        <v>130</v>
      </c>
      <c r="J29" s="31" t="s">
        <v>496</v>
      </c>
      <c r="K29" s="23">
        <f>MAX('[1]New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 '[1]New Mons'!N$87:N$99)</f>
        <v>90</v>
      </c>
      <c r="L29" s="25">
        <f>MAX('[1]New Mons'!O$4,'[1]New Mons'!O$7,'[1]New Mons'!O$10,'[1]New Mons'!O$12,'[1]New Mons'!O$15,'[1]New Mons'!O$18,'[1]New Mons'!O$21,'[1]New Mons'!O$22,'[1]New Mons'!O$23,'[1]New Mons'!O$25,'[1]New Mons'!O$27,'[1]New Mons'!O$29,'[1]New Mons'!O$31,'[1]New Mons'!O$32,'[1]New Mons'!O$33,'[1]New Mons'!O$35,'[1]New Mons'!O$37,'[1]New Mons'!O$39,'[1]New Mons'!O$40,'[1]New Mons'!O$42,'[1]New Mons'!O$44,'[1]New Mons'!O$45,'[1]New Mons'!O$48,'[1]New Mons'!O$50,'[1]New Mons'!O$51,'[1]New Mons'!O$53,'[1]New Mons'!O$55,'[1]New Mons'!O$58,'[1]New Mons'!O$60,'[1]New Mons'!O$62,'[1]New Mons'!O$63,'[1]New Mons'!O$64,'[1]New Mons'!O$67,'[1]New Mons'!O$68,'[1]New Mons'!O$69,'[1]New Mons'!O$70,'[1]New Mons'!O$71,'[1]New Mons'!O$72,'[1]New Mons'!O$73,'[1]New Mons'!O$76,'[1]New Mons'!O$78,'[1]New Mons'!O$79,'[1]New Mons'!O$80,'[1]New Mons'!O$82,'[1]New Mons'!O$84,'[1]New Mons'!O$85,'[1]New Mons'!O$86, '[1]New Mons'!O$87:O$99)</f>
        <v>80</v>
      </c>
      <c r="M29" s="25">
        <f>MAX('[1]New Mons'!P$4,'[1]New Mons'!P$7,'[1]New Mons'!P$10,'[1]New Mons'!P$12,'[1]New Mons'!P$15,'[1]New Mons'!P$18,'[1]New Mons'!P$21,'[1]New Mons'!P$22,'[1]New Mons'!P$23,'[1]New Mons'!P$25,'[1]New Mons'!P$27,'[1]New Mons'!P$29,'[1]New Mons'!P$31,'[1]New Mons'!P$32,'[1]New Mons'!P$33,'[1]New Mons'!P$35,'[1]New Mons'!P$37,'[1]New Mons'!P$39,'[1]New Mons'!P$40,'[1]New Mons'!P$42,'[1]New Mons'!P$44,'[1]New Mons'!P$45,'[1]New Mons'!P$48,'[1]New Mons'!P$50,'[1]New Mons'!P$51,'[1]New Mons'!P$53,'[1]New Mons'!P$55,'[1]New Mons'!P$58,'[1]New Mons'!P$60,'[1]New Mons'!P$62,'[1]New Mons'!P$63,'[1]New Mons'!P$64,'[1]New Mons'!P$67,'[1]New Mons'!P$68,'[1]New Mons'!P$69,'[1]New Mons'!P$70,'[1]New Mons'!P$71,'[1]New Mons'!P$72,'[1]New Mons'!P$73,'[1]New Mons'!P$76,'[1]New Mons'!P$78,'[1]New Mons'!P$79,'[1]New Mons'!P$80,'[1]New Mons'!P$82,'[1]New Mons'!P$84,'[1]New Mons'!P$85,'[1]New Mons'!P$86, '[1]New Mons'!P$87:P$99)</f>
        <v>60</v>
      </c>
      <c r="N29" s="25">
        <f>MAX('[1]New Mons'!Q$4,'[1]New Mons'!Q$7,'[1]New Mons'!Q$10,'[1]New Mons'!Q$12,'[1]New Mons'!Q$15,'[1]New Mons'!Q$18,'[1]New Mons'!Q$21,'[1]New Mons'!Q$22,'[1]New Mons'!Q$23,'[1]New Mons'!Q$25,'[1]New Mons'!Q$27,'[1]New Mons'!Q$29,'[1]New Mons'!Q$31,'[1]New Mons'!Q$32,'[1]New Mons'!Q$33,'[1]New Mons'!Q$35,'[1]New Mons'!Q$37,'[1]New Mons'!Q$39,'[1]New Mons'!Q$40,'[1]New Mons'!Q$42,'[1]New Mons'!Q$44,'[1]New Mons'!Q$45,'[1]New Mons'!Q$48,'[1]New Mons'!Q$50,'[1]New Mons'!Q$51,'[1]New Mons'!Q$53,'[1]New Mons'!Q$55,'[1]New Mons'!Q$58,'[1]New Mons'!Q$60,'[1]New Mons'!Q$62,'[1]New Mons'!Q$63,'[1]New Mons'!Q$64,'[1]New Mons'!Q$67,'[1]New Mons'!Q$68,'[1]New Mons'!Q$69,'[1]New Mons'!Q$70,'[1]New Mons'!Q$71,'[1]New Mons'!Q$72,'[1]New Mons'!Q$73,'[1]New Mons'!Q$76,'[1]New Mons'!Q$78,'[1]New Mons'!Q$79,'[1]New Mons'!Q$80,'[1]New Mons'!Q$82,'[1]New Mons'!Q$84,'[1]New Mons'!Q$85,'[1]New Mons'!Q$86, '[1]New Mons'!Q$87:Q$99)</f>
        <v>90</v>
      </c>
      <c r="O29" s="25">
        <f>MAX('[1]New Mons'!R$4,'[1]New Mons'!R$7,'[1]New Mons'!R$10,'[1]New Mons'!R$12,'[1]New Mons'!R$15,'[1]New Mons'!R$18,'[1]New Mons'!R$21,'[1]New Mons'!R$22,'[1]New Mons'!R$23,'[1]New Mons'!R$25,'[1]New Mons'!R$27,'[1]New Mons'!R$29,'[1]New Mons'!R$31,'[1]New Mons'!R$32,'[1]New Mons'!R$33,'[1]New Mons'!R$35,'[1]New Mons'!R$37,'[1]New Mons'!R$39,'[1]New Mons'!R$40,'[1]New Mons'!R$42,'[1]New Mons'!R$44,'[1]New Mons'!R$45,'[1]New Mons'!R$48,'[1]New Mons'!R$50,'[1]New Mons'!R$51,'[1]New Mons'!R$53,'[1]New Mons'!R$55,'[1]New Mons'!R$58,'[1]New Mons'!R$60,'[1]New Mons'!R$62,'[1]New Mons'!R$63,'[1]New Mons'!R$64,'[1]New Mons'!R$67,'[1]New Mons'!R$68,'[1]New Mons'!R$69,'[1]New Mons'!R$70,'[1]New Mons'!R$71,'[1]New Mons'!R$72,'[1]New Mons'!R$73,'[1]New Mons'!R$76,'[1]New Mons'!R$78,'[1]New Mons'!R$79,'[1]New Mons'!R$80,'[1]New Mons'!R$82,'[1]New Mons'!R$84,'[1]New Mons'!R$85,'[1]New Mons'!R$86, '[1]New Mons'!R$87:R$99)</f>
        <v>90</v>
      </c>
      <c r="P29" s="25"/>
      <c r="Q29" s="20">
        <f>MAX('[1]New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 '[1]New Mons'!S$87:S$99)</f>
        <v>160</v>
      </c>
    </row>
    <row r="30" spans="1:17" x14ac:dyDescent="0.25">
      <c r="A30" s="26" t="s">
        <v>497</v>
      </c>
      <c r="B30" s="31">
        <f>MIN('[1]New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f>
        <v>0</v>
      </c>
      <c r="C30" s="26">
        <f>MIN('[1]New Mons'!H$4,'[1]New Mons'!H$7,'[1]New Mons'!H$10,'[1]New Mons'!H$12,'[1]New Mons'!H$15,'[1]New Mons'!H$18,'[1]New Mons'!H$21,'[1]New Mons'!H$22,'[1]New Mons'!H$23,'[1]New Mons'!H$25,'[1]New Mons'!H$27,'[1]New Mons'!H$29,'[1]New Mons'!H$31,'[1]New Mons'!H$32,'[1]New Mons'!H$33,'[1]New Mons'!H$35,'[1]New Mons'!H$37,'[1]New Mons'!H$39,'[1]New Mons'!H$40,'[1]New Mons'!H$42,'[1]New Mons'!H$44,'[1]New Mons'!H$45,'[1]New Mons'!H$48,'[1]New Mons'!H$50,'[1]New Mons'!H$51,'[1]New Mons'!H$53,'[1]New Mons'!H$55,'[1]New Mons'!H$58,'[1]New Mons'!H$60,'[1]New Mons'!H$62,'[1]New Mons'!H$63,'[1]New Mons'!H$64,'[1]New Mons'!H$67,'[1]New Mons'!H$68,'[1]New Mons'!H$69,'[1]New Mons'!H$70,'[1]New Mons'!H$71,'[1]New Mons'!H$72,'[1]New Mons'!H$73,'[1]New Mons'!H$76,'[1]New Mons'!H$78,'[1]New Mons'!H$79,'[1]New Mons'!H$80,'[1]New Mons'!H$82,'[1]New Mons'!H$84,'[1]New Mons'!H$85,'[1]New Mons'!H$86)</f>
        <v>25</v>
      </c>
      <c r="D30" s="26">
        <f>MIN('[1]New Mons'!I$4,'[1]New Mons'!I$7,'[1]New Mons'!I$10,'[1]New Mons'!I$12,'[1]New Mons'!I$15,'[1]New Mons'!I$18,'[1]New Mons'!I$21,'[1]New Mons'!I$22,'[1]New Mons'!I$23,'[1]New Mons'!I$25,'[1]New Mons'!I$27,'[1]New Mons'!I$29,'[1]New Mons'!I$31,'[1]New Mons'!I$32,'[1]New Mons'!I$33,'[1]New Mons'!I$35,'[1]New Mons'!I$37,'[1]New Mons'!I$39,'[1]New Mons'!I$40,'[1]New Mons'!I$42,'[1]New Mons'!I$44,'[1]New Mons'!I$45,'[1]New Mons'!I$48,'[1]New Mons'!I$50,'[1]New Mons'!I$51,'[1]New Mons'!I$53,'[1]New Mons'!I$55,'[1]New Mons'!I$58,'[1]New Mons'!I$60,'[1]New Mons'!I$62,'[1]New Mons'!I$63,'[1]New Mons'!I$64,'[1]New Mons'!I$67,'[1]New Mons'!I$68,'[1]New Mons'!I$69,'[1]New Mons'!I$70,'[1]New Mons'!I$71,'[1]New Mons'!I$72,'[1]New Mons'!I$73,'[1]New Mons'!I$76,'[1]New Mons'!I$78,'[1]New Mons'!I$79,'[1]New Mons'!I$80,'[1]New Mons'!I$82,'[1]New Mons'!I$84,'[1]New Mons'!I$85,'[1]New Mons'!I$86)</f>
        <v>38</v>
      </c>
      <c r="E30" s="26">
        <f>MIN('[1]New Mons'!J$4,'[1]New Mons'!J$7,'[1]New Mons'!J$10,'[1]New Mons'!J$12,'[1]New Mons'!J$15,'[1]New Mons'!J$18,'[1]New Mons'!J$21,'[1]New Mons'!J$22,'[1]New Mons'!J$23,'[1]New Mons'!J$25,'[1]New Mons'!J$27,'[1]New Mons'!J$29,'[1]New Mons'!J$31,'[1]New Mons'!J$32,'[1]New Mons'!J$33,'[1]New Mons'!J$35,'[1]New Mons'!J$37,'[1]New Mons'!J$39,'[1]New Mons'!J$40,'[1]New Mons'!J$42,'[1]New Mons'!J$44,'[1]New Mons'!J$45,'[1]New Mons'!J$48,'[1]New Mons'!J$50,'[1]New Mons'!J$51,'[1]New Mons'!J$53,'[1]New Mons'!J$55,'[1]New Mons'!J$58,'[1]New Mons'!J$60,'[1]New Mons'!J$62,'[1]New Mons'!J$63,'[1]New Mons'!J$64,'[1]New Mons'!J$67,'[1]New Mons'!J$68,'[1]New Mons'!J$69,'[1]New Mons'!J$70,'[1]New Mons'!J$71,'[1]New Mons'!J$72,'[1]New Mons'!J$73,'[1]New Mons'!J$76,'[1]New Mons'!J$78,'[1]New Mons'!J$79,'[1]New Mons'!J$80,'[1]New Mons'!J$82,'[1]New Mons'!J$84,'[1]New Mons'!J$85,'[1]New Mons'!J$86)</f>
        <v>30</v>
      </c>
      <c r="F30" s="26">
        <f>MIN('[1]New Mons'!K$4,'[1]New Mons'!K$7,'[1]New Mons'!K$10,'[1]New Mons'!K$12,'[1]New Mons'!K$15,'[1]New Mons'!K$18,'[1]New Mons'!K$21,'[1]New Mons'!K$22,'[1]New Mons'!K$23,'[1]New Mons'!K$25,'[1]New Mons'!K$27,'[1]New Mons'!K$29,'[1]New Mons'!K$31,'[1]New Mons'!K$32,'[1]New Mons'!K$33,'[1]New Mons'!K$35,'[1]New Mons'!K$37,'[1]New Mons'!K$39,'[1]New Mons'!K$40,'[1]New Mons'!K$42,'[1]New Mons'!K$44,'[1]New Mons'!K$45,'[1]New Mons'!K$48,'[1]New Mons'!K$50,'[1]New Mons'!K$51,'[1]New Mons'!K$53,'[1]New Mons'!K$55,'[1]New Mons'!K$58,'[1]New Mons'!K$60,'[1]New Mons'!K$62,'[1]New Mons'!K$63,'[1]New Mons'!K$64,'[1]New Mons'!K$67,'[1]New Mons'!K$68,'[1]New Mons'!K$69,'[1]New Mons'!K$70,'[1]New Mons'!K$71,'[1]New Mons'!K$72,'[1]New Mons'!K$73,'[1]New Mons'!K$76,'[1]New Mons'!K$78,'[1]New Mons'!K$79,'[1]New Mons'!K$80,'[1]New Mons'!K$82,'[1]New Mons'!K$84,'[1]New Mons'!K$85,'[1]New Mons'!K$86)</f>
        <v>40</v>
      </c>
      <c r="G30" s="26"/>
      <c r="H30" s="27">
        <f>MIN('[1]New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f>
        <v>0</v>
      </c>
      <c r="J30" s="31" t="s">
        <v>497</v>
      </c>
      <c r="K30" s="23">
        <f>MIN('[1]New Mons'!N$4,'[1]New Mons'!N$7,'[1]New Mons'!N$10,'[1]New Mons'!N$12,'[1]New Mons'!N$15,'[1]New Mons'!N$18,'[1]New Mons'!N$21,'[1]New Mons'!N$22,'[1]New Mons'!N$23,'[1]New Mons'!N$25,'[1]New Mons'!N$27,'[1]New Mons'!N$29,'[1]New Mons'!N$31,'[1]New Mons'!N$32,'[1]New Mons'!N$33,'[1]New Mons'!N$35,'[1]New Mons'!N$37,'[1]New Mons'!N$39,'[1]New Mons'!N$40,'[1]New Mons'!N$42,'[1]New Mons'!N$44,'[1]New Mons'!N$45,'[1]New Mons'!N$48,'[1]New Mons'!N$50,'[1]New Mons'!N$51,'[1]New Mons'!N$53,'[1]New Mons'!N$55,'[1]New Mons'!N$58,'[1]New Mons'!N$60,'[1]New Mons'!N$62,'[1]New Mons'!N$63,'[1]New Mons'!N$64,'[1]New Mons'!N$67,'[1]New Mons'!N$68,'[1]New Mons'!N$69,'[1]New Mons'!N$70,'[1]New Mons'!N$71,'[1]New Mons'!N$72,'[1]New Mons'!N$73,'[1]New Mons'!N$76,'[1]New Mons'!N$78,'[1]New Mons'!N$79,'[1]New Mons'!N$80,'[1]New Mons'!N$82,'[1]New Mons'!N$84,'[1]New Mons'!N$85,'[1]New Mons'!N$86, '[1]New Mons'!N$87:N$99)</f>
        <v>0</v>
      </c>
      <c r="L30" s="25">
        <f>MIN('[1]New Mons'!O$4,'[1]New Mons'!O$7,'[1]New Mons'!O$10,'[1]New Mons'!O$12,'[1]New Mons'!O$15,'[1]New Mons'!O$18,'[1]New Mons'!O$21,'[1]New Mons'!O$22,'[1]New Mons'!O$23,'[1]New Mons'!O$25,'[1]New Mons'!O$27,'[1]New Mons'!O$29,'[1]New Mons'!O$31,'[1]New Mons'!O$32,'[1]New Mons'!O$33,'[1]New Mons'!O$35,'[1]New Mons'!O$37,'[1]New Mons'!O$39,'[1]New Mons'!O$40,'[1]New Mons'!O$42,'[1]New Mons'!O$44,'[1]New Mons'!O$45,'[1]New Mons'!O$48,'[1]New Mons'!O$50,'[1]New Mons'!O$51,'[1]New Mons'!O$53,'[1]New Mons'!O$55,'[1]New Mons'!O$58,'[1]New Mons'!O$60,'[1]New Mons'!O$62,'[1]New Mons'!O$63,'[1]New Mons'!O$64,'[1]New Mons'!O$67,'[1]New Mons'!O$68,'[1]New Mons'!O$69,'[1]New Mons'!O$70,'[1]New Mons'!O$71,'[1]New Mons'!O$72,'[1]New Mons'!O$73,'[1]New Mons'!O$76,'[1]New Mons'!O$78,'[1]New Mons'!O$79,'[1]New Mons'!O$80,'[1]New Mons'!O$82,'[1]New Mons'!O$84,'[1]New Mons'!O$85,'[1]New Mons'!O$86, '[1]New Mons'!O$87:O$99)</f>
        <v>0</v>
      </c>
      <c r="M30" s="25">
        <f>MIN('[1]New Mons'!P$4,'[1]New Mons'!P$7,'[1]New Mons'!P$10,'[1]New Mons'!P$12,'[1]New Mons'!P$15,'[1]New Mons'!P$18,'[1]New Mons'!P$21,'[1]New Mons'!P$22,'[1]New Mons'!P$23,'[1]New Mons'!P$25,'[1]New Mons'!P$27,'[1]New Mons'!P$29,'[1]New Mons'!P$31,'[1]New Mons'!P$32,'[1]New Mons'!P$33,'[1]New Mons'!P$35,'[1]New Mons'!P$37,'[1]New Mons'!P$39,'[1]New Mons'!P$40,'[1]New Mons'!P$42,'[1]New Mons'!P$44,'[1]New Mons'!P$45,'[1]New Mons'!P$48,'[1]New Mons'!P$50,'[1]New Mons'!P$51,'[1]New Mons'!P$53,'[1]New Mons'!P$55,'[1]New Mons'!P$58,'[1]New Mons'!P$60,'[1]New Mons'!P$62,'[1]New Mons'!P$63,'[1]New Mons'!P$64,'[1]New Mons'!P$67,'[1]New Mons'!P$68,'[1]New Mons'!P$69,'[1]New Mons'!P$70,'[1]New Mons'!P$71,'[1]New Mons'!P$72,'[1]New Mons'!P$73,'[1]New Mons'!P$76,'[1]New Mons'!P$78,'[1]New Mons'!P$79,'[1]New Mons'!P$80,'[1]New Mons'!P$82,'[1]New Mons'!P$84,'[1]New Mons'!P$85,'[1]New Mons'!P$86, '[1]New Mons'!P$87:P$99)</f>
        <v>0</v>
      </c>
      <c r="N30" s="25">
        <f>MIN('[1]New Mons'!Q$4,'[1]New Mons'!Q$7,'[1]New Mons'!Q$10,'[1]New Mons'!Q$12,'[1]New Mons'!Q$15,'[1]New Mons'!Q$18,'[1]New Mons'!Q$21,'[1]New Mons'!Q$22,'[1]New Mons'!Q$23,'[1]New Mons'!Q$25,'[1]New Mons'!Q$27,'[1]New Mons'!Q$29,'[1]New Mons'!Q$31,'[1]New Mons'!Q$32,'[1]New Mons'!Q$33,'[1]New Mons'!Q$35,'[1]New Mons'!Q$37,'[1]New Mons'!Q$39,'[1]New Mons'!Q$40,'[1]New Mons'!Q$42,'[1]New Mons'!Q$44,'[1]New Mons'!Q$45,'[1]New Mons'!Q$48,'[1]New Mons'!Q$50,'[1]New Mons'!Q$51,'[1]New Mons'!Q$53,'[1]New Mons'!Q$55,'[1]New Mons'!Q$58,'[1]New Mons'!Q$60,'[1]New Mons'!Q$62,'[1]New Mons'!Q$63,'[1]New Mons'!Q$64,'[1]New Mons'!Q$67,'[1]New Mons'!Q$68,'[1]New Mons'!Q$69,'[1]New Mons'!Q$70,'[1]New Mons'!Q$71,'[1]New Mons'!Q$72,'[1]New Mons'!Q$73,'[1]New Mons'!Q$76,'[1]New Mons'!Q$78,'[1]New Mons'!Q$79,'[1]New Mons'!Q$80,'[1]New Mons'!Q$82,'[1]New Mons'!Q$84,'[1]New Mons'!Q$85,'[1]New Mons'!Q$86, '[1]New Mons'!Q$87:Q$99)</f>
        <v>0</v>
      </c>
      <c r="O30" s="25">
        <f>MIN('[1]New Mons'!R$4,'[1]New Mons'!R$7,'[1]New Mons'!R$10,'[1]New Mons'!R$12,'[1]New Mons'!R$15,'[1]New Mons'!R$18,'[1]New Mons'!R$21,'[1]New Mons'!R$22,'[1]New Mons'!R$23,'[1]New Mons'!R$25,'[1]New Mons'!R$27,'[1]New Mons'!R$29,'[1]New Mons'!R$31,'[1]New Mons'!R$32,'[1]New Mons'!R$33,'[1]New Mons'!R$35,'[1]New Mons'!R$37,'[1]New Mons'!R$39,'[1]New Mons'!R$40,'[1]New Mons'!R$42,'[1]New Mons'!R$44,'[1]New Mons'!R$45,'[1]New Mons'!R$48,'[1]New Mons'!R$50,'[1]New Mons'!R$51,'[1]New Mons'!R$53,'[1]New Mons'!R$55,'[1]New Mons'!R$58,'[1]New Mons'!R$60,'[1]New Mons'!R$62,'[1]New Mons'!R$63,'[1]New Mons'!R$64,'[1]New Mons'!R$67,'[1]New Mons'!R$68,'[1]New Mons'!R$69,'[1]New Mons'!R$70,'[1]New Mons'!R$71,'[1]New Mons'!R$72,'[1]New Mons'!R$73,'[1]New Mons'!R$76,'[1]New Mons'!R$78,'[1]New Mons'!R$79,'[1]New Mons'!R$80,'[1]New Mons'!R$82,'[1]New Mons'!R$84,'[1]New Mons'!R$85,'[1]New Mons'!R$86, '[1]New Mons'!R$87:R$99)</f>
        <v>0</v>
      </c>
      <c r="P30" s="26"/>
      <c r="Q30" s="27">
        <f>MIN('[1]New Mons'!S$4,'[1]New Mons'!S$7,'[1]New Mons'!S$10,'[1]New Mons'!S$12,'[1]New Mons'!S$15,'[1]New Mons'!S$18,'[1]New Mons'!S$21,'[1]New Mons'!S$22,'[1]New Mons'!S$23,'[1]New Mons'!S$25,'[1]New Mons'!S$27,'[1]New Mons'!S$29,'[1]New Mons'!S$31,'[1]New Mons'!S$32,'[1]New Mons'!S$33,'[1]New Mons'!S$35,'[1]New Mons'!S$37,'[1]New Mons'!S$39,'[1]New Mons'!S$40,'[1]New Mons'!S$42,'[1]New Mons'!S$44,'[1]New Mons'!S$45,'[1]New Mons'!S$48,'[1]New Mons'!S$50,'[1]New Mons'!S$51,'[1]New Mons'!S$53,'[1]New Mons'!S$55,'[1]New Mons'!S$58,'[1]New Mons'!S$60,'[1]New Mons'!S$62,'[1]New Mons'!S$63,'[1]New Mons'!S$64,'[1]New Mons'!S$67,'[1]New Mons'!S$68,'[1]New Mons'!S$69,'[1]New Mons'!S$70,'[1]New Mons'!S$71,'[1]New Mons'!S$72,'[1]New Mons'!S$73,'[1]New Mons'!S$76,'[1]New Mons'!S$78,'[1]New Mons'!S$79,'[1]New Mons'!S$80,'[1]New Mons'!S$82,'[1]New Mons'!S$84,'[1]New Mons'!S$85,'[1]New Mons'!S$86, '[1]New Mons'!S$87:S$99)</f>
        <v>0</v>
      </c>
    </row>
  </sheetData>
  <mergeCells count="11">
    <mergeCell ref="A1:Q1"/>
    <mergeCell ref="S1:AI1"/>
    <mergeCell ref="AB2:AI2"/>
    <mergeCell ref="S9:Z9"/>
    <mergeCell ref="AB9:AI9"/>
    <mergeCell ref="J17:Q17"/>
    <mergeCell ref="A24:H24"/>
    <mergeCell ref="J24:Q24"/>
    <mergeCell ref="A9:H9"/>
    <mergeCell ref="J2:Q2"/>
    <mergeCell ref="J9:Q9"/>
  </mergeCells>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17EC8-ED99-40F3-AB16-E4428525A80F}">
  <sheetPr codeName="Sheet6"/>
  <dimension ref="A1:Q8"/>
  <sheetViews>
    <sheetView workbookViewId="0">
      <selection activeCell="R2" sqref="R2"/>
    </sheetView>
  </sheetViews>
  <sheetFormatPr defaultRowHeight="15" x14ac:dyDescent="0.25"/>
  <cols>
    <col min="2" max="3" width="5.7109375" customWidth="1"/>
    <col min="4" max="4" width="1.42578125" customWidth="1"/>
    <col min="5" max="16" width="3.7109375" customWidth="1"/>
  </cols>
  <sheetData>
    <row r="1" spans="1:17" x14ac:dyDescent="0.25">
      <c r="A1" t="s">
        <v>341</v>
      </c>
      <c r="B1" t="s">
        <v>342</v>
      </c>
      <c r="C1" t="s">
        <v>349</v>
      </c>
      <c r="E1" s="10">
        <v>0</v>
      </c>
      <c r="F1" s="10">
        <v>10</v>
      </c>
      <c r="G1" s="10">
        <v>20</v>
      </c>
      <c r="H1" s="10">
        <v>30</v>
      </c>
      <c r="I1" s="10">
        <v>40</v>
      </c>
      <c r="J1" s="10">
        <v>50</v>
      </c>
      <c r="K1" s="10">
        <v>60</v>
      </c>
      <c r="L1" s="10">
        <v>70</v>
      </c>
      <c r="M1" s="10">
        <v>80</v>
      </c>
      <c r="N1" s="10">
        <v>90</v>
      </c>
      <c r="O1" s="10">
        <v>100</v>
      </c>
      <c r="P1" s="10" t="s">
        <v>350</v>
      </c>
      <c r="Q1" s="11" t="s">
        <v>344</v>
      </c>
    </row>
    <row r="2" spans="1:17" x14ac:dyDescent="0.25">
      <c r="A2" t="s">
        <v>343</v>
      </c>
      <c r="B2">
        <f>AVERAGE(AVERAGEA('[1]Mon List'!$O:$O),AVERAGEA('[1]New Mons'!$N:$N))</f>
        <v>15.774563759130945</v>
      </c>
      <c r="C2">
        <f>AVERAGE(AVERAGEIF('[1]Mon List'!$O:$O,"&lt;&gt;0"),AVERAGEIF('[1]New Mons'!$N:$N,"&lt;&gt;0"))</f>
        <v>30.437726300197497</v>
      </c>
      <c r="E2">
        <f>COUNTIF('[1]Mon List'!$O:$O,E$1)+COUNTIF('[1]New Mons'!$N:$N,E$1)</f>
        <v>516</v>
      </c>
      <c r="F2">
        <f>COUNTIF('[1]Mon List'!$O:$O,F$1)+COUNTIF('[1]New Mons'!$N:$N,F$1)</f>
        <v>117</v>
      </c>
      <c r="G2">
        <f>COUNTIF('[1]Mon List'!$O:$O,G$1)+COUNTIF('[1]New Mons'!$N:$N,G$1)</f>
        <v>120</v>
      </c>
      <c r="H2">
        <f>COUNTIF('[1]Mon List'!$O:$O,H$1)+COUNTIF('[1]New Mons'!$N:$N,H$1)</f>
        <v>118</v>
      </c>
      <c r="I2">
        <f>COUNTIF('[1]Mon List'!$O:$O,I$1)+COUNTIF('[1]New Mons'!$N:$N,I$1)</f>
        <v>75</v>
      </c>
      <c r="J2">
        <f>COUNTIF('[1]Mon List'!$O:$O,J$1)+COUNTIF('[1]New Mons'!$N:$N,J$1)</f>
        <v>50</v>
      </c>
      <c r="K2">
        <f>COUNTIF('[1]Mon List'!$O:$O,K$1)+COUNTIF('[1]New Mons'!$N:$N,K$1)</f>
        <v>24</v>
      </c>
      <c r="L2">
        <f>COUNTIF('[1]Mon List'!$O:$O,L$1)+COUNTIF('[1]New Mons'!$N:$N,L$1)</f>
        <v>19</v>
      </c>
      <c r="M2">
        <f>COUNTIF('[1]Mon List'!$O:$O,M$1)+COUNTIF('[1]New Mons'!$N:$N,M$1)</f>
        <v>4</v>
      </c>
      <c r="N2">
        <f>COUNTIF('[1]Mon List'!$O:$O,N$1)+COUNTIF('[1]New Mons'!$N:$N,N$1)</f>
        <v>4</v>
      </c>
      <c r="O2">
        <f>COUNTIF('[1]Mon List'!$O:$O,O$1)+COUNTIF('[1]New Mons'!$N:$N,O$1)</f>
        <v>1</v>
      </c>
      <c r="P2">
        <f>SUM(F2:O2)</f>
        <v>532</v>
      </c>
      <c r="Q2">
        <f>COUNTIF('[1]Move List'!F:F,A2)+COUNTIF('[1]New Moves'!F:F,A2)</f>
        <v>154</v>
      </c>
    </row>
    <row r="3" spans="1:17" x14ac:dyDescent="0.25">
      <c r="A3" t="s">
        <v>348</v>
      </c>
      <c r="B3">
        <f>AVERAGE(AVERAGEA('[1]Mon List'!$P:$P),AVERAGEA('[1]New Mons'!$O:$O))</f>
        <v>12.811467686509257</v>
      </c>
      <c r="C3">
        <f>AVERAGE(AVERAGEIF('[1]Mon List'!$P:$P,"&lt;&gt;0"),AVERAGEIF('[1]New Mons'!$O:$O,"&lt;&gt;0"))</f>
        <v>30.130501375343837</v>
      </c>
      <c r="E3">
        <f>COUNTIF('[1]Mon List'!$P:$P,E$1)+COUNTIF('[1]New Mons'!$O:$O,E$1)</f>
        <v>646</v>
      </c>
      <c r="F3">
        <f>COUNTIF('[1]Mon List'!$P:$P,F$1)+COUNTIF('[1]New Mons'!$O:$O,F$1)</f>
        <v>110</v>
      </c>
      <c r="G3">
        <f>COUNTIF('[1]Mon List'!$P:$P,G$1)+COUNTIF('[1]New Mons'!$O:$O,G$1)</f>
        <v>108</v>
      </c>
      <c r="H3">
        <f>COUNTIF('[1]Mon List'!$P:$P,H$1)+COUNTIF('[1]New Mons'!$O:$O,H$1)</f>
        <v>72</v>
      </c>
      <c r="I3">
        <f>COUNTIF('[1]Mon List'!$P:$P,I$1)+COUNTIF('[1]New Mons'!$O:$O,I$1)</f>
        <v>42</v>
      </c>
      <c r="J3">
        <f>COUNTIF('[1]Mon List'!$P:$P,J$1)+COUNTIF('[1]New Mons'!$O:$O,J$1)</f>
        <v>30</v>
      </c>
      <c r="K3">
        <f>COUNTIF('[1]Mon List'!$P:$P,K$1)+COUNTIF('[1]New Mons'!$O:$O,K$1)</f>
        <v>15</v>
      </c>
      <c r="L3">
        <f>COUNTIF('[1]Mon List'!$P:$P,L$1)+COUNTIF('[1]New Mons'!$O:$O,L$1)</f>
        <v>13</v>
      </c>
      <c r="M3">
        <f>COUNTIF('[1]Mon List'!$P:$P,M$1)+COUNTIF('[1]New Mons'!$O:$O,M$1)</f>
        <v>7</v>
      </c>
      <c r="N3">
        <f>COUNTIF('[1]Mon List'!$P:$P,N$1)+COUNTIF('[1]New Mons'!$O:$O,N$1)</f>
        <v>4</v>
      </c>
      <c r="O3">
        <f>COUNTIF('[1]Mon List'!$P:$P,O$1)+COUNTIF('[1]New Mons'!$O:$O,O$1)</f>
        <v>1</v>
      </c>
      <c r="P3">
        <f>SUM(F3:O3)</f>
        <v>402</v>
      </c>
      <c r="Q3">
        <f>COUNTIF('[1]Move List'!F:F,A3)+COUNTIF('[1]New Moves'!F:F,A3)</f>
        <v>152</v>
      </c>
    </row>
    <row r="4" spans="1:17" x14ac:dyDescent="0.25">
      <c r="A4" t="s">
        <v>345</v>
      </c>
      <c r="B4">
        <f>AVERAGE(AVERAGEA('[1]Mon List'!$Q:$Q),AVERAGEA('[1]New Mons'!$P:$P))</f>
        <v>11.21511296336916</v>
      </c>
      <c r="C4">
        <f>AVERAGE(AVERAGEIF('[1]Mon List'!$Q:$Q,"&lt;&gt;0"),AVERAGEIF('[1]New Mons'!$P:$P,"&lt;&gt;0"))</f>
        <v>24.777103013945119</v>
      </c>
      <c r="E4">
        <f>COUNTIF('[1]Mon List'!$Q:$Q,E$1)+COUNTIF('[1]New Mons'!$P:$P,E$1)</f>
        <v>532</v>
      </c>
      <c r="F4">
        <f>COUNTIF('[1]Mon List'!$Q:$Q,F$1)+COUNTIF('[1]New Mons'!$P:$P,F$1)</f>
        <v>144</v>
      </c>
      <c r="G4">
        <f>COUNTIF('[1]Mon List'!$Q:$Q,G$1)+COUNTIF('[1]New Mons'!$P:$P,G$1)</f>
        <v>129</v>
      </c>
      <c r="H4">
        <f>COUNTIF('[1]Mon List'!$Q:$Q,H$1)+COUNTIF('[1]New Mons'!$P:$P,H$1)</f>
        <v>112</v>
      </c>
      <c r="I4">
        <f>COUNTIF('[1]Mon List'!$Q:$Q,I$1)+COUNTIF('[1]New Mons'!$P:$P,I$1)</f>
        <v>69</v>
      </c>
      <c r="J4">
        <f>COUNTIF('[1]Mon List'!$Q:$Q,J$1)+COUNTIF('[1]New Mons'!$P:$P,J$1)</f>
        <v>41</v>
      </c>
      <c r="K4">
        <f>COUNTIF('[1]Mon List'!$Q:$Q,K$1)+COUNTIF('[1]New Mons'!$P:$P,K$1)</f>
        <v>13</v>
      </c>
      <c r="L4">
        <f>COUNTIF('[1]Mon List'!$Q:$Q,L$1)+COUNTIF('[1]New Mons'!$P:$P,L$1)</f>
        <v>11</v>
      </c>
      <c r="M4">
        <f>COUNTIF('[1]Mon List'!$Q:$Q,M$1)+COUNTIF('[1]New Mons'!$P:$P,M$1)</f>
        <v>2</v>
      </c>
      <c r="N4">
        <f>COUNTIF('[1]Mon List'!$Q:$Q,N$1)+COUNTIF('[1]New Mons'!$P:$P,N$1)</f>
        <v>2</v>
      </c>
      <c r="O4">
        <f>COUNTIF('[1]Mon List'!$Q:$Q,O$1)+COUNTIF('[1]New Mons'!$P:$P,O$1)</f>
        <v>1</v>
      </c>
      <c r="P4">
        <f>SUM(F4:O4)</f>
        <v>524</v>
      </c>
      <c r="Q4">
        <f>COUNTIF('[1]Move List'!F:F,A4)+COUNTIF('[1]New Moves'!F:F,A4)</f>
        <v>107</v>
      </c>
    </row>
    <row r="5" spans="1:17" x14ac:dyDescent="0.25">
      <c r="A5" t="s">
        <v>346</v>
      </c>
      <c r="B5">
        <f>AVERAGE(AVERAGEA('[1]Mon List'!$R:$R),AVERAGEA('[1]New Mons'!$Q:$Q))</f>
        <v>14.590017736392861</v>
      </c>
      <c r="C5">
        <f>AVERAGE(AVERAGEIF('[1]Mon List'!$R:$R,"&lt;&gt;0"),AVERAGEIF('[1]New Mons'!$Q:$Q,"&lt;&gt;0"))</f>
        <v>27.520138888888887</v>
      </c>
      <c r="E5">
        <f>COUNTIF('[1]Mon List'!$R:$R,E$1)+COUNTIF('[1]New Mons'!$Q:$Q,E$1)</f>
        <v>456</v>
      </c>
      <c r="F5">
        <f>COUNTIF('[1]Mon List'!$R:$R,F$1)+COUNTIF('[1]New Mons'!$Q:$Q,F$1)</f>
        <v>145</v>
      </c>
      <c r="G5">
        <f>COUNTIF('[1]Mon List'!$R:$R,G$1)+COUNTIF('[1]New Mons'!$Q:$Q,G$1)</f>
        <v>175</v>
      </c>
      <c r="H5">
        <f>COUNTIF('[1]Mon List'!$R:$R,H$1)+COUNTIF('[1]New Mons'!$Q:$Q,H$1)</f>
        <v>127</v>
      </c>
      <c r="I5">
        <f>COUNTIF('[1]Mon List'!$R:$R,I$1)+COUNTIF('[1]New Mons'!$Q:$Q,I$1)</f>
        <v>63</v>
      </c>
      <c r="J5">
        <f>COUNTIF('[1]Mon List'!$R:$R,J$1)+COUNTIF('[1]New Mons'!$Q:$Q,J$1)</f>
        <v>42</v>
      </c>
      <c r="K5">
        <f>COUNTIF('[1]Mon List'!$R:$R,K$1)+COUNTIF('[1]New Mons'!$Q:$Q,K$1)</f>
        <v>18</v>
      </c>
      <c r="L5">
        <f>COUNTIF('[1]Mon List'!$R:$R,L$1)+COUNTIF('[1]New Mons'!$Q:$Q,L$1)</f>
        <v>12</v>
      </c>
      <c r="M5">
        <f>COUNTIF('[1]Mon List'!$R:$R,M$1)+COUNTIF('[1]New Mons'!$Q:$Q,M$1)</f>
        <v>6</v>
      </c>
      <c r="N5">
        <f>COUNTIF('[1]Mon List'!$R:$R,N$1)+COUNTIF('[1]New Mons'!$Q:$Q,N$1)</f>
        <v>3</v>
      </c>
      <c r="O5">
        <f>COUNTIF('[1]Mon List'!$R:$R,O$1)+COUNTIF('[1]New Mons'!$Q:$Q,O$1)</f>
        <v>1</v>
      </c>
      <c r="P5">
        <f>SUM(F5:O5)</f>
        <v>592</v>
      </c>
      <c r="Q5">
        <f>COUNTIF('[1]Move List'!F:F,A5)+COUNTIF('[1]New Moves'!F:F,A5)</f>
        <v>162</v>
      </c>
    </row>
    <row r="6" spans="1:17" x14ac:dyDescent="0.25">
      <c r="A6" t="s">
        <v>347</v>
      </c>
      <c r="B6">
        <f>AVERAGE(AVERAGEA('[1]Mon List'!$S:$S),AVERAGEA('[1]New Mons'!$R:$R))</f>
        <v>17.381382330118612</v>
      </c>
      <c r="C6">
        <f>AVERAGE(AVERAGEIF('[1]Mon List'!$S:$S,"&lt;&gt;0"),AVERAGEIF('[1]New Mons'!$R:$R,"&lt;&gt;0"))</f>
        <v>31.182979559748428</v>
      </c>
      <c r="E6">
        <f>COUNTIF('[1]Mon List'!$S:$S,E$1)+COUNTIF('[1]New Mons'!$R:$R,E$1)</f>
        <v>480</v>
      </c>
      <c r="F6">
        <f>COUNTIF('[1]Mon List'!$S:$S,F$1)+COUNTIF('[1]New Mons'!$R:$R,F$1)</f>
        <v>139</v>
      </c>
      <c r="G6">
        <f>COUNTIF('[1]Mon List'!$S:$S,G$1)+COUNTIF('[1]New Mons'!$R:$R,G$1)</f>
        <v>117</v>
      </c>
      <c r="H6">
        <f>COUNTIF('[1]Mon List'!$S:$S,H$1)+COUNTIF('[1]New Mons'!$R:$R,H$1)</f>
        <v>122</v>
      </c>
      <c r="I6">
        <f>COUNTIF('[1]Mon List'!$S:$S,I$1)+COUNTIF('[1]New Mons'!$R:$R,I$1)</f>
        <v>81</v>
      </c>
      <c r="J6">
        <f>COUNTIF('[1]Mon List'!$S:$S,J$1)+COUNTIF('[1]New Mons'!$R:$R,J$1)</f>
        <v>50</v>
      </c>
      <c r="K6">
        <f>COUNTIF('[1]Mon List'!$S:$S,K$1)+COUNTIF('[1]New Mons'!$R:$R,K$1)</f>
        <v>29</v>
      </c>
      <c r="L6">
        <f>COUNTIF('[1]Mon List'!$S:$S,L$1)+COUNTIF('[1]New Mons'!$R:$R,L$1)</f>
        <v>17</v>
      </c>
      <c r="M6">
        <f>COUNTIF('[1]Mon List'!$S:$S,M$1)+COUNTIF('[1]New Mons'!$R:$R,M$1)</f>
        <v>7</v>
      </c>
      <c r="N6">
        <f>COUNTIF('[1]Mon List'!$S:$S,N$1)+COUNTIF('[1]New Mons'!$R:$R,N$1)</f>
        <v>5</v>
      </c>
      <c r="O6">
        <f>COUNTIF('[1]Mon List'!$S:$S,O$1)+COUNTIF('[1]New Mons'!$R:$R,O$1)</f>
        <v>1</v>
      </c>
      <c r="P6">
        <f>SUM(F6:O6)</f>
        <v>568</v>
      </c>
      <c r="Q6">
        <f>COUNTIF('[1]Move List'!F:F,A6)+COUNTIF('[1]New Moves'!F:F,A6)</f>
        <v>153</v>
      </c>
    </row>
    <row r="7" spans="1:17" ht="7.5" customHeight="1" x14ac:dyDescent="0.25"/>
    <row r="8" spans="1:17" x14ac:dyDescent="0.25">
      <c r="A8" t="s">
        <v>351</v>
      </c>
      <c r="B8">
        <f>AVERAGEA('[1]Mon List'!$O:$S)</f>
        <v>14.555944776426953</v>
      </c>
      <c r="C8">
        <f>AVERAGEIF('[1]Mon List'!$O:$S,"&lt;&gt;0")</f>
        <v>28.832653061224491</v>
      </c>
      <c r="E8">
        <f t="shared" ref="E8:N8" si="0">AVERAGE(E2:E6)</f>
        <v>526</v>
      </c>
      <c r="F8">
        <f t="shared" si="0"/>
        <v>131</v>
      </c>
      <c r="G8">
        <f t="shared" si="0"/>
        <v>129.80000000000001</v>
      </c>
      <c r="H8">
        <f t="shared" si="0"/>
        <v>110.2</v>
      </c>
      <c r="I8">
        <f t="shared" si="0"/>
        <v>66</v>
      </c>
      <c r="J8">
        <f t="shared" si="0"/>
        <v>42.6</v>
      </c>
      <c r="K8">
        <f t="shared" si="0"/>
        <v>19.8</v>
      </c>
      <c r="L8">
        <f t="shared" si="0"/>
        <v>14.4</v>
      </c>
      <c r="M8">
        <f t="shared" si="0"/>
        <v>5.2</v>
      </c>
      <c r="N8">
        <f t="shared" si="0"/>
        <v>3.6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2DFEE-8535-4237-9BB7-2F51A5B8C17C}">
  <sheetPr codeName="Sheet7"/>
  <dimension ref="A1:L291"/>
  <sheetViews>
    <sheetView workbookViewId="0">
      <selection activeCell="H184" sqref="H184"/>
    </sheetView>
  </sheetViews>
  <sheetFormatPr defaultRowHeight="15" x14ac:dyDescent="0.25"/>
  <cols>
    <col min="1" max="1" width="2.85546875" style="9" customWidth="1"/>
    <col min="2" max="4" width="18.28515625" style="6" customWidth="1"/>
    <col min="5" max="8" width="18.28515625" style="7" customWidth="1"/>
    <col min="9" max="10" width="9.140625" style="7"/>
    <col min="11" max="12" width="18.28515625" style="6" customWidth="1"/>
    <col min="13" max="16384" width="9.140625" style="6"/>
  </cols>
  <sheetData>
    <row r="1" spans="1:12" x14ac:dyDescent="0.25">
      <c r="A1" s="3" t="s">
        <v>33</v>
      </c>
      <c r="B1" s="4" t="s">
        <v>500</v>
      </c>
      <c r="C1" s="4" t="s">
        <v>503</v>
      </c>
      <c r="D1" s="4" t="s">
        <v>504</v>
      </c>
      <c r="E1" s="4" t="s">
        <v>505</v>
      </c>
      <c r="F1" s="4" t="s">
        <v>501</v>
      </c>
      <c r="G1" s="4" t="s">
        <v>502</v>
      </c>
      <c r="H1" s="5" t="s">
        <v>34</v>
      </c>
      <c r="I1" s="5" t="s">
        <v>35</v>
      </c>
      <c r="J1" s="4" t="s">
        <v>499</v>
      </c>
      <c r="K1" s="4" t="s">
        <v>36</v>
      </c>
      <c r="L1" s="4" t="s">
        <v>37</v>
      </c>
    </row>
    <row r="2" spans="1:12" x14ac:dyDescent="0.25">
      <c r="A2" s="3">
        <v>0</v>
      </c>
      <c r="B2" s="4" t="s">
        <v>38</v>
      </c>
      <c r="C2" s="4" t="s">
        <v>39</v>
      </c>
      <c r="D2" s="4" t="s">
        <v>40</v>
      </c>
      <c r="E2" s="7" t="s">
        <v>41</v>
      </c>
      <c r="F2" s="4" t="s">
        <v>42</v>
      </c>
      <c r="G2" s="4" t="s">
        <v>43</v>
      </c>
      <c r="H2" s="8" t="s">
        <v>44</v>
      </c>
      <c r="I2" s="7">
        <f t="shared" ref="I2:I65" si="0">COUNTIF(B:B,H2)*10+COUNTIF(C:C,H2)*5+COUNTIF(E:E,H2)*2+COUNTIF(D:D,H2)+COUNTIF(F:F,H2)*0.1+COUNTIF(G:G,H2)*0.01</f>
        <v>15</v>
      </c>
      <c r="J2" s="7" t="b">
        <f t="shared" ref="J2:J65" si="1">COUNTIF(K$2:L$101,H2)&gt;0</f>
        <v>1</v>
      </c>
      <c r="K2" s="4" t="s">
        <v>45</v>
      </c>
      <c r="L2" s="4" t="s">
        <v>46</v>
      </c>
    </row>
    <row r="3" spans="1:12" x14ac:dyDescent="0.25">
      <c r="A3" s="9">
        <v>1</v>
      </c>
      <c r="B3" s="4" t="s">
        <v>46</v>
      </c>
      <c r="C3" s="4" t="s">
        <v>47</v>
      </c>
      <c r="D3" s="4" t="s">
        <v>48</v>
      </c>
      <c r="E3" s="7" t="s">
        <v>49</v>
      </c>
      <c r="F3" s="4" t="s">
        <v>50</v>
      </c>
      <c r="G3" s="4" t="s">
        <v>51</v>
      </c>
      <c r="H3" s="8" t="s">
        <v>52</v>
      </c>
      <c r="I3" s="7">
        <f t="shared" si="0"/>
        <v>15</v>
      </c>
      <c r="J3" s="7" t="b">
        <f t="shared" si="1"/>
        <v>1</v>
      </c>
      <c r="K3" s="4" t="s">
        <v>53</v>
      </c>
      <c r="L3" s="4" t="s">
        <v>63</v>
      </c>
    </row>
    <row r="4" spans="1:12" x14ac:dyDescent="0.25">
      <c r="A4" s="9">
        <v>2</v>
      </c>
      <c r="B4" s="4" t="s">
        <v>55</v>
      </c>
      <c r="C4" s="4" t="s">
        <v>56</v>
      </c>
      <c r="D4" s="4" t="s">
        <v>57</v>
      </c>
      <c r="E4" s="7" t="s">
        <v>58</v>
      </c>
      <c r="F4" s="4" t="s">
        <v>59</v>
      </c>
      <c r="G4" s="4" t="s">
        <v>60</v>
      </c>
      <c r="H4" s="8" t="s">
        <v>61</v>
      </c>
      <c r="I4" s="7">
        <f t="shared" si="0"/>
        <v>15</v>
      </c>
      <c r="J4" s="7" t="b">
        <f t="shared" si="1"/>
        <v>1</v>
      </c>
      <c r="K4" s="6" t="s">
        <v>62</v>
      </c>
      <c r="L4" s="4" t="s">
        <v>64</v>
      </c>
    </row>
    <row r="5" spans="1:12" x14ac:dyDescent="0.25">
      <c r="A5" s="9">
        <v>3</v>
      </c>
      <c r="B5" s="4" t="s">
        <v>64</v>
      </c>
      <c r="C5" s="4" t="s">
        <v>65</v>
      </c>
      <c r="D5" s="4" t="s">
        <v>66</v>
      </c>
      <c r="E5" s="7" t="s">
        <v>67</v>
      </c>
      <c r="F5" s="4" t="s">
        <v>68</v>
      </c>
      <c r="G5" s="4" t="s">
        <v>69</v>
      </c>
      <c r="H5" s="8" t="s">
        <v>70</v>
      </c>
      <c r="I5" s="7">
        <f t="shared" si="0"/>
        <v>15</v>
      </c>
      <c r="J5" s="7" t="b">
        <f t="shared" si="1"/>
        <v>1</v>
      </c>
      <c r="K5" s="6" t="s">
        <v>71</v>
      </c>
      <c r="L5" s="4" t="s">
        <v>40</v>
      </c>
    </row>
    <row r="6" spans="1:12" x14ac:dyDescent="0.25">
      <c r="A6" s="9">
        <v>4</v>
      </c>
      <c r="B6" s="4" t="s">
        <v>72</v>
      </c>
      <c r="C6" s="4" t="s">
        <v>73</v>
      </c>
      <c r="D6" s="4" t="s">
        <v>74</v>
      </c>
      <c r="E6" s="7" t="s">
        <v>75</v>
      </c>
      <c r="F6" s="4" t="s">
        <v>76</v>
      </c>
      <c r="G6" s="4" t="s">
        <v>77</v>
      </c>
      <c r="H6" s="8" t="s">
        <v>78</v>
      </c>
      <c r="I6" s="7">
        <f t="shared" si="0"/>
        <v>15</v>
      </c>
      <c r="J6" s="7" t="b">
        <f t="shared" si="1"/>
        <v>1</v>
      </c>
      <c r="K6" s="6" t="s">
        <v>79</v>
      </c>
      <c r="L6" s="4" t="s">
        <v>60</v>
      </c>
    </row>
    <row r="7" spans="1:12" x14ac:dyDescent="0.25">
      <c r="A7" s="9">
        <v>5</v>
      </c>
      <c r="B7" s="4" t="s">
        <v>80</v>
      </c>
      <c r="C7" s="4" t="s">
        <v>81</v>
      </c>
      <c r="D7" s="4" t="s">
        <v>82</v>
      </c>
      <c r="E7" s="7" t="s">
        <v>83</v>
      </c>
      <c r="F7" s="4" t="s">
        <v>84</v>
      </c>
      <c r="G7" s="4" t="s">
        <v>85</v>
      </c>
      <c r="H7" s="8" t="s">
        <v>86</v>
      </c>
      <c r="I7" s="7">
        <f t="shared" si="0"/>
        <v>15</v>
      </c>
      <c r="J7" s="7" t="b">
        <f t="shared" si="1"/>
        <v>1</v>
      </c>
      <c r="K7" s="6" t="s">
        <v>87</v>
      </c>
      <c r="L7" s="4" t="s">
        <v>103</v>
      </c>
    </row>
    <row r="8" spans="1:12" x14ac:dyDescent="0.25">
      <c r="A8" s="9">
        <v>6</v>
      </c>
      <c r="B8" s="4" t="s">
        <v>88</v>
      </c>
      <c r="C8" s="4" t="s">
        <v>89</v>
      </c>
      <c r="D8" s="4" t="s">
        <v>90</v>
      </c>
      <c r="E8" s="7" t="s">
        <v>91</v>
      </c>
      <c r="F8" s="4" t="s">
        <v>92</v>
      </c>
      <c r="G8" s="4" t="s">
        <v>93</v>
      </c>
      <c r="H8" s="8" t="s">
        <v>94</v>
      </c>
      <c r="I8" s="7">
        <f t="shared" si="0"/>
        <v>15</v>
      </c>
      <c r="J8" s="7" t="b">
        <f t="shared" si="1"/>
        <v>1</v>
      </c>
      <c r="K8" s="6" t="s">
        <v>181</v>
      </c>
      <c r="L8" s="4" t="s">
        <v>110</v>
      </c>
    </row>
    <row r="9" spans="1:12" x14ac:dyDescent="0.25">
      <c r="A9" s="9">
        <v>7</v>
      </c>
      <c r="B9" s="4" t="s">
        <v>96</v>
      </c>
      <c r="C9" s="4" t="s">
        <v>97</v>
      </c>
      <c r="D9" s="4" t="s">
        <v>98</v>
      </c>
      <c r="E9" s="7" t="s">
        <v>99</v>
      </c>
      <c r="F9" s="4" t="s">
        <v>100</v>
      </c>
      <c r="G9" s="4" t="s">
        <v>101</v>
      </c>
      <c r="H9" s="8" t="s">
        <v>102</v>
      </c>
      <c r="I9" s="7">
        <f t="shared" si="0"/>
        <v>15</v>
      </c>
      <c r="J9" s="7" t="b">
        <f t="shared" si="1"/>
        <v>1</v>
      </c>
      <c r="K9" s="6" t="s">
        <v>68</v>
      </c>
      <c r="L9" s="4" t="s">
        <v>117</v>
      </c>
    </row>
    <row r="10" spans="1:12" x14ac:dyDescent="0.25">
      <c r="A10" s="9">
        <v>8</v>
      </c>
      <c r="B10" s="4" t="s">
        <v>63</v>
      </c>
      <c r="C10" s="4" t="s">
        <v>45</v>
      </c>
      <c r="D10" s="4" t="s">
        <v>104</v>
      </c>
      <c r="E10" s="7" t="s">
        <v>105</v>
      </c>
      <c r="F10" s="4" t="s">
        <v>106</v>
      </c>
      <c r="G10" s="4" t="s">
        <v>107</v>
      </c>
      <c r="H10" s="8" t="s">
        <v>108</v>
      </c>
      <c r="I10" s="7">
        <f t="shared" si="0"/>
        <v>15</v>
      </c>
      <c r="J10" s="7" t="b">
        <f t="shared" si="1"/>
        <v>1</v>
      </c>
      <c r="K10" s="6" t="s">
        <v>109</v>
      </c>
      <c r="L10" s="4" t="s">
        <v>82</v>
      </c>
    </row>
    <row r="11" spans="1:12" x14ac:dyDescent="0.25">
      <c r="A11" s="9">
        <v>9</v>
      </c>
      <c r="B11" s="4" t="s">
        <v>111</v>
      </c>
      <c r="C11" s="4" t="s">
        <v>53</v>
      </c>
      <c r="D11" s="4" t="s">
        <v>112</v>
      </c>
      <c r="E11" s="7" t="s">
        <v>113</v>
      </c>
      <c r="F11" s="4" t="s">
        <v>114</v>
      </c>
      <c r="G11" s="4" t="s">
        <v>115</v>
      </c>
      <c r="H11" s="8" t="s">
        <v>89</v>
      </c>
      <c r="I11" s="7">
        <f t="shared" si="0"/>
        <v>15</v>
      </c>
      <c r="J11" s="7" t="b">
        <f t="shared" si="1"/>
        <v>1</v>
      </c>
      <c r="K11" s="6" t="s">
        <v>116</v>
      </c>
      <c r="L11" s="4" t="s">
        <v>90</v>
      </c>
    </row>
    <row r="12" spans="1:12" x14ac:dyDescent="0.25">
      <c r="A12" s="9">
        <v>10</v>
      </c>
      <c r="B12" s="4" t="s">
        <v>62</v>
      </c>
      <c r="C12" s="4" t="s">
        <v>118</v>
      </c>
      <c r="D12" s="4" t="s">
        <v>119</v>
      </c>
      <c r="E12" s="7" t="s">
        <v>120</v>
      </c>
      <c r="F12" s="4" t="s">
        <v>49</v>
      </c>
      <c r="G12" s="4" t="s">
        <v>121</v>
      </c>
      <c r="H12" s="8" t="s">
        <v>53</v>
      </c>
      <c r="I12" s="7">
        <f t="shared" si="0"/>
        <v>15</v>
      </c>
      <c r="J12" s="7" t="b">
        <f t="shared" si="1"/>
        <v>1</v>
      </c>
      <c r="K12" s="6" t="s">
        <v>111</v>
      </c>
      <c r="L12" s="6" t="s">
        <v>104</v>
      </c>
    </row>
    <row r="13" spans="1:12" x14ac:dyDescent="0.25">
      <c r="A13" s="9">
        <v>11</v>
      </c>
      <c r="B13" s="4" t="s">
        <v>122</v>
      </c>
      <c r="C13" s="4" t="s">
        <v>123</v>
      </c>
      <c r="D13" s="4" t="s">
        <v>24</v>
      </c>
      <c r="E13" s="7" t="s">
        <v>124</v>
      </c>
      <c r="F13" s="4" t="s">
        <v>125</v>
      </c>
      <c r="G13" s="4" t="s">
        <v>126</v>
      </c>
      <c r="H13" s="8" t="s">
        <v>96</v>
      </c>
      <c r="I13" s="7">
        <f t="shared" si="0"/>
        <v>15</v>
      </c>
      <c r="J13" s="7" t="b">
        <f t="shared" si="1"/>
        <v>1</v>
      </c>
      <c r="K13" s="6" t="s">
        <v>127</v>
      </c>
      <c r="L13" s="6" t="s">
        <v>112</v>
      </c>
    </row>
    <row r="14" spans="1:12" x14ac:dyDescent="0.25">
      <c r="A14" s="9">
        <v>12</v>
      </c>
      <c r="B14" s="4" t="s">
        <v>128</v>
      </c>
      <c r="C14" s="4" t="s">
        <v>129</v>
      </c>
      <c r="D14" s="4" t="s">
        <v>130</v>
      </c>
      <c r="E14" s="7" t="s">
        <v>131</v>
      </c>
      <c r="F14" s="4" t="s">
        <v>138</v>
      </c>
      <c r="G14" s="4" t="s">
        <v>133</v>
      </c>
      <c r="H14" s="8" t="s">
        <v>45</v>
      </c>
      <c r="I14" s="7">
        <f t="shared" si="0"/>
        <v>15</v>
      </c>
      <c r="J14" s="7" t="b">
        <f t="shared" si="1"/>
        <v>1</v>
      </c>
      <c r="K14" s="6" t="s">
        <v>134</v>
      </c>
      <c r="L14" s="6" t="s">
        <v>57</v>
      </c>
    </row>
    <row r="15" spans="1:12" x14ac:dyDescent="0.25">
      <c r="A15" s="9">
        <v>13</v>
      </c>
      <c r="B15" s="4" t="s">
        <v>82</v>
      </c>
      <c r="C15" s="4" t="s">
        <v>135</v>
      </c>
      <c r="D15" s="4" t="s">
        <v>136</v>
      </c>
      <c r="E15" s="7" t="s">
        <v>137</v>
      </c>
      <c r="F15" s="4" t="s">
        <v>144</v>
      </c>
      <c r="G15" s="4" t="s">
        <v>139</v>
      </c>
      <c r="H15" s="8" t="s">
        <v>140</v>
      </c>
      <c r="I15" s="7">
        <f t="shared" si="0"/>
        <v>15</v>
      </c>
      <c r="J15" s="7" t="b">
        <f t="shared" si="1"/>
        <v>1</v>
      </c>
      <c r="K15" s="6" t="s">
        <v>78</v>
      </c>
      <c r="L15" s="6" t="s">
        <v>148</v>
      </c>
    </row>
    <row r="16" spans="1:12" x14ac:dyDescent="0.25">
      <c r="A16" s="9">
        <v>14</v>
      </c>
      <c r="B16" s="4" t="s">
        <v>90</v>
      </c>
      <c r="C16" s="4" t="s">
        <v>141</v>
      </c>
      <c r="D16" s="4" t="s">
        <v>142</v>
      </c>
      <c r="E16" s="7" t="s">
        <v>143</v>
      </c>
      <c r="F16" s="4" t="s">
        <v>105</v>
      </c>
      <c r="G16" s="4" t="s">
        <v>145</v>
      </c>
      <c r="H16" s="8" t="s">
        <v>146</v>
      </c>
      <c r="I16" s="7">
        <f t="shared" si="0"/>
        <v>15</v>
      </c>
      <c r="J16" s="7" t="b">
        <f t="shared" si="1"/>
        <v>1</v>
      </c>
      <c r="K16" s="6" t="s">
        <v>147</v>
      </c>
      <c r="L16" s="6" t="s">
        <v>74</v>
      </c>
    </row>
    <row r="17" spans="1:12" x14ac:dyDescent="0.25">
      <c r="A17" s="9">
        <v>15</v>
      </c>
      <c r="B17" s="4" t="s">
        <v>45</v>
      </c>
      <c r="C17" s="4" t="s">
        <v>86</v>
      </c>
      <c r="D17" s="4" t="s">
        <v>148</v>
      </c>
      <c r="E17" s="7" t="s">
        <v>149</v>
      </c>
      <c r="F17" s="4" t="s">
        <v>153</v>
      </c>
      <c r="G17" s="4" t="s">
        <v>39</v>
      </c>
      <c r="H17" s="8" t="s">
        <v>150</v>
      </c>
      <c r="I17" s="7">
        <f t="shared" si="0"/>
        <v>15</v>
      </c>
      <c r="J17" s="7" t="b">
        <f t="shared" si="1"/>
        <v>1</v>
      </c>
      <c r="K17" s="6" t="s">
        <v>61</v>
      </c>
      <c r="L17" s="6" t="s">
        <v>66</v>
      </c>
    </row>
    <row r="18" spans="1:12" x14ac:dyDescent="0.25">
      <c r="A18" s="9">
        <v>16</v>
      </c>
      <c r="B18" s="4" t="s">
        <v>140</v>
      </c>
      <c r="C18" s="4" t="s">
        <v>151</v>
      </c>
      <c r="D18" s="4" t="s">
        <v>152</v>
      </c>
      <c r="E18" s="7" t="s">
        <v>65</v>
      </c>
      <c r="F18" s="4" t="s">
        <v>109</v>
      </c>
      <c r="G18" s="4" t="s">
        <v>47</v>
      </c>
      <c r="H18" s="8" t="s">
        <v>154</v>
      </c>
      <c r="I18" s="7">
        <f t="shared" si="0"/>
        <v>15</v>
      </c>
      <c r="J18" s="7" t="b">
        <f t="shared" si="1"/>
        <v>1</v>
      </c>
      <c r="K18" s="4" t="s">
        <v>83</v>
      </c>
      <c r="L18" s="6" t="s">
        <v>170</v>
      </c>
    </row>
    <row r="19" spans="1:12" x14ac:dyDescent="0.25">
      <c r="A19" s="9">
        <v>17</v>
      </c>
      <c r="B19" s="4" t="s">
        <v>154</v>
      </c>
      <c r="C19" s="4" t="s">
        <v>140</v>
      </c>
      <c r="D19" s="4" t="s">
        <v>110</v>
      </c>
      <c r="E19" s="7" t="s">
        <v>153</v>
      </c>
      <c r="F19" s="4" t="s">
        <v>161</v>
      </c>
      <c r="G19" s="4" t="s">
        <v>48</v>
      </c>
      <c r="H19" s="8" t="s">
        <v>156</v>
      </c>
      <c r="I19" s="7">
        <f t="shared" si="0"/>
        <v>15</v>
      </c>
      <c r="J19" s="7" t="b">
        <f t="shared" si="1"/>
        <v>1</v>
      </c>
      <c r="K19" s="4" t="s">
        <v>157</v>
      </c>
      <c r="L19" s="6" t="s">
        <v>177</v>
      </c>
    </row>
    <row r="20" spans="1:12" x14ac:dyDescent="0.25">
      <c r="A20" s="9">
        <v>18</v>
      </c>
      <c r="B20" s="4" t="s">
        <v>156</v>
      </c>
      <c r="C20" s="4" t="s">
        <v>158</v>
      </c>
      <c r="D20" s="4" t="s">
        <v>159</v>
      </c>
      <c r="E20" s="7" t="s">
        <v>155</v>
      </c>
      <c r="F20" s="4" t="s">
        <v>116</v>
      </c>
      <c r="G20" s="4" t="s">
        <v>162</v>
      </c>
      <c r="H20" s="8" t="s">
        <v>158</v>
      </c>
      <c r="I20" s="7">
        <f t="shared" si="0"/>
        <v>15</v>
      </c>
      <c r="J20" s="7" t="b">
        <f t="shared" si="1"/>
        <v>1</v>
      </c>
      <c r="K20" s="6" t="s">
        <v>163</v>
      </c>
      <c r="L20" s="6" t="s">
        <v>184</v>
      </c>
    </row>
    <row r="21" spans="1:12" x14ac:dyDescent="0.25">
      <c r="A21" s="9">
        <v>19</v>
      </c>
      <c r="B21" s="4" t="s">
        <v>164</v>
      </c>
      <c r="C21" s="4" t="s">
        <v>165</v>
      </c>
      <c r="D21" s="4" t="s">
        <v>166</v>
      </c>
      <c r="E21" s="7" t="s">
        <v>160</v>
      </c>
      <c r="F21" s="4" t="s">
        <v>174</v>
      </c>
      <c r="G21" s="4" t="s">
        <v>167</v>
      </c>
      <c r="H21" s="8" t="s">
        <v>168</v>
      </c>
      <c r="I21" s="7">
        <f t="shared" si="0"/>
        <v>15</v>
      </c>
      <c r="J21" s="7" t="b">
        <f t="shared" si="1"/>
        <v>1</v>
      </c>
      <c r="K21" s="6" t="s">
        <v>73</v>
      </c>
      <c r="L21" s="6" t="s">
        <v>189</v>
      </c>
    </row>
    <row r="22" spans="1:12" x14ac:dyDescent="0.25">
      <c r="A22" s="9">
        <v>20</v>
      </c>
      <c r="B22" s="4" t="s">
        <v>165</v>
      </c>
      <c r="C22" s="4" t="s">
        <v>171</v>
      </c>
      <c r="D22" s="4" t="s">
        <v>172</v>
      </c>
      <c r="E22" s="7" t="s">
        <v>116</v>
      </c>
      <c r="F22" s="4" t="s">
        <v>181</v>
      </c>
      <c r="G22" s="4" t="s">
        <v>175</v>
      </c>
      <c r="H22" s="8" t="s">
        <v>147</v>
      </c>
      <c r="I22" s="7">
        <f t="shared" si="0"/>
        <v>15</v>
      </c>
      <c r="J22" s="7" t="b">
        <f t="shared" si="1"/>
        <v>1</v>
      </c>
      <c r="K22" s="4" t="s">
        <v>81</v>
      </c>
      <c r="L22" s="6" t="s">
        <v>72</v>
      </c>
    </row>
    <row r="23" spans="1:12" x14ac:dyDescent="0.25">
      <c r="A23" s="9">
        <v>21</v>
      </c>
      <c r="B23" s="4" t="s">
        <v>178</v>
      </c>
      <c r="C23" s="4" t="s">
        <v>168</v>
      </c>
      <c r="D23" s="4" t="s">
        <v>179</v>
      </c>
      <c r="E23" s="7" t="s">
        <v>173</v>
      </c>
      <c r="F23" s="4" t="s">
        <v>186</v>
      </c>
      <c r="G23" s="4" t="s">
        <v>182</v>
      </c>
      <c r="H23" s="8" t="s">
        <v>183</v>
      </c>
      <c r="I23" s="7">
        <f t="shared" si="0"/>
        <v>15</v>
      </c>
      <c r="J23" s="7" t="b">
        <f t="shared" si="1"/>
        <v>1</v>
      </c>
      <c r="K23" s="4" t="s">
        <v>65</v>
      </c>
      <c r="L23" s="6" t="s">
        <v>24</v>
      </c>
    </row>
    <row r="24" spans="1:12" x14ac:dyDescent="0.25">
      <c r="A24" s="9">
        <v>22</v>
      </c>
      <c r="B24" s="4" t="s">
        <v>123</v>
      </c>
      <c r="C24" s="4" t="s">
        <v>147</v>
      </c>
      <c r="D24" s="4" t="s">
        <v>184</v>
      </c>
      <c r="E24" s="7" t="s">
        <v>180</v>
      </c>
      <c r="F24" s="4" t="s">
        <v>193</v>
      </c>
      <c r="G24" s="4" t="s">
        <v>142</v>
      </c>
      <c r="H24" s="8" t="s">
        <v>187</v>
      </c>
      <c r="I24" s="7">
        <f t="shared" si="0"/>
        <v>15</v>
      </c>
      <c r="J24" s="7" t="b">
        <f t="shared" si="1"/>
        <v>1</v>
      </c>
      <c r="K24" s="4" t="s">
        <v>176</v>
      </c>
      <c r="L24" s="6" t="s">
        <v>155</v>
      </c>
    </row>
    <row r="25" spans="1:12" x14ac:dyDescent="0.25">
      <c r="A25" s="9">
        <v>23</v>
      </c>
      <c r="B25" s="4" t="s">
        <v>190</v>
      </c>
      <c r="C25" s="4" t="s">
        <v>127</v>
      </c>
      <c r="D25" s="4" t="s">
        <v>191</v>
      </c>
      <c r="E25" s="7" t="s">
        <v>185</v>
      </c>
      <c r="F25" s="4" t="s">
        <v>199</v>
      </c>
      <c r="G25" s="4" t="s">
        <v>194</v>
      </c>
      <c r="H25" s="8" t="s">
        <v>165</v>
      </c>
      <c r="I25" s="7">
        <f t="shared" si="0"/>
        <v>15</v>
      </c>
      <c r="J25" s="7" t="b">
        <f t="shared" si="1"/>
        <v>1</v>
      </c>
      <c r="K25" s="4" t="s">
        <v>151</v>
      </c>
      <c r="L25" s="6" t="s">
        <v>207</v>
      </c>
    </row>
    <row r="26" spans="1:12" x14ac:dyDescent="0.25">
      <c r="A26" s="9">
        <v>24</v>
      </c>
      <c r="B26" s="4" t="s">
        <v>104</v>
      </c>
      <c r="C26" s="4" t="s">
        <v>196</v>
      </c>
      <c r="D26" s="4" t="s">
        <v>197</v>
      </c>
      <c r="E26" s="7" t="s">
        <v>192</v>
      </c>
      <c r="F26" s="4" t="s">
        <v>113</v>
      </c>
      <c r="G26" s="4" t="s">
        <v>200</v>
      </c>
      <c r="H26" s="8" t="s">
        <v>201</v>
      </c>
      <c r="I26" s="7">
        <f t="shared" si="0"/>
        <v>15</v>
      </c>
      <c r="J26" s="7" t="b">
        <f t="shared" si="1"/>
        <v>1</v>
      </c>
      <c r="K26" s="4" t="s">
        <v>188</v>
      </c>
      <c r="L26" s="4" t="s">
        <v>213</v>
      </c>
    </row>
    <row r="27" spans="1:12" x14ac:dyDescent="0.25">
      <c r="A27" s="9">
        <v>25</v>
      </c>
      <c r="B27" s="4" t="s">
        <v>112</v>
      </c>
      <c r="C27" s="4" t="s">
        <v>154</v>
      </c>
      <c r="D27" s="4" t="s">
        <v>72</v>
      </c>
      <c r="E27" s="7" t="s">
        <v>198</v>
      </c>
      <c r="F27" s="4" t="s">
        <v>120</v>
      </c>
      <c r="G27" s="4" t="s">
        <v>202</v>
      </c>
      <c r="H27" s="8" t="s">
        <v>134</v>
      </c>
      <c r="I27" s="7">
        <f t="shared" si="0"/>
        <v>15</v>
      </c>
      <c r="J27" s="7" t="b">
        <f t="shared" si="1"/>
        <v>1</v>
      </c>
      <c r="K27" s="4" t="s">
        <v>195</v>
      </c>
      <c r="L27" s="4" t="s">
        <v>216</v>
      </c>
    </row>
    <row r="28" spans="1:12" x14ac:dyDescent="0.25">
      <c r="A28" s="9">
        <v>26</v>
      </c>
      <c r="B28" s="4" t="s">
        <v>119</v>
      </c>
      <c r="C28" s="4" t="s">
        <v>203</v>
      </c>
      <c r="D28" s="4" t="s">
        <v>199</v>
      </c>
      <c r="E28" s="7" t="s">
        <v>59</v>
      </c>
      <c r="F28" s="4" t="s">
        <v>211</v>
      </c>
      <c r="H28" s="8" t="s">
        <v>205</v>
      </c>
      <c r="I28" s="7">
        <f t="shared" si="0"/>
        <v>15</v>
      </c>
      <c r="J28" s="7" t="b">
        <f t="shared" si="1"/>
        <v>1</v>
      </c>
      <c r="K28" s="4" t="s">
        <v>133</v>
      </c>
      <c r="L28" s="4" t="s">
        <v>220</v>
      </c>
    </row>
    <row r="29" spans="1:12" x14ac:dyDescent="0.25">
      <c r="A29" s="9">
        <v>27</v>
      </c>
      <c r="B29" s="4" t="s">
        <v>208</v>
      </c>
      <c r="C29" s="4" t="s">
        <v>209</v>
      </c>
      <c r="D29" s="4" t="s">
        <v>210</v>
      </c>
      <c r="E29" s="7" t="s">
        <v>204</v>
      </c>
      <c r="F29" s="4" t="s">
        <v>215</v>
      </c>
      <c r="H29" s="8" t="s">
        <v>212</v>
      </c>
      <c r="I29" s="7">
        <f t="shared" si="0"/>
        <v>15</v>
      </c>
      <c r="J29" s="7" t="b">
        <f t="shared" si="1"/>
        <v>1</v>
      </c>
      <c r="K29" s="4" t="s">
        <v>141</v>
      </c>
      <c r="L29" s="6" t="s">
        <v>223</v>
      </c>
    </row>
    <row r="30" spans="1:12" x14ac:dyDescent="0.25">
      <c r="A30" s="9">
        <v>28</v>
      </c>
      <c r="B30" s="4" t="s">
        <v>86</v>
      </c>
      <c r="C30" s="4" t="s">
        <v>116</v>
      </c>
      <c r="D30" s="4" t="s">
        <v>214</v>
      </c>
      <c r="E30" s="7" t="s">
        <v>73</v>
      </c>
      <c r="F30" s="4" t="s">
        <v>219</v>
      </c>
      <c r="H30" s="8" t="s">
        <v>123</v>
      </c>
      <c r="I30" s="7">
        <f t="shared" si="0"/>
        <v>15</v>
      </c>
      <c r="J30" s="7" t="b">
        <f t="shared" si="1"/>
        <v>1</v>
      </c>
      <c r="K30" s="4" t="s">
        <v>206</v>
      </c>
      <c r="L30" s="6" t="s">
        <v>226</v>
      </c>
    </row>
    <row r="31" spans="1:12" x14ac:dyDescent="0.25">
      <c r="A31" s="9">
        <v>29</v>
      </c>
      <c r="B31" s="4" t="s">
        <v>24</v>
      </c>
      <c r="C31" s="4" t="s">
        <v>176</v>
      </c>
      <c r="D31" s="4" t="s">
        <v>217</v>
      </c>
      <c r="E31" s="7" t="s">
        <v>209</v>
      </c>
      <c r="F31" s="4" t="s">
        <v>222</v>
      </c>
      <c r="H31" s="8" t="s">
        <v>169</v>
      </c>
      <c r="I31" s="7">
        <f t="shared" si="0"/>
        <v>15</v>
      </c>
      <c r="J31" s="7" t="b">
        <f t="shared" si="1"/>
        <v>1</v>
      </c>
      <c r="K31" s="4" t="s">
        <v>88</v>
      </c>
      <c r="L31" s="6" t="s">
        <v>204</v>
      </c>
    </row>
    <row r="32" spans="1:12" x14ac:dyDescent="0.25">
      <c r="A32" s="9">
        <v>30</v>
      </c>
      <c r="B32" s="4" t="s">
        <v>216</v>
      </c>
      <c r="C32" s="4" t="s">
        <v>169</v>
      </c>
      <c r="D32" s="4" t="s">
        <v>221</v>
      </c>
      <c r="E32" s="7" t="s">
        <v>218</v>
      </c>
      <c r="F32" s="4" t="s">
        <v>225</v>
      </c>
      <c r="H32" s="8" t="s">
        <v>122</v>
      </c>
      <c r="I32" s="7">
        <f t="shared" si="0"/>
        <v>15</v>
      </c>
      <c r="J32" s="7" t="b">
        <f t="shared" si="1"/>
        <v>1</v>
      </c>
      <c r="K32" s="4" t="s">
        <v>202</v>
      </c>
      <c r="L32" s="4" t="s">
        <v>119</v>
      </c>
    </row>
    <row r="33" spans="1:12" x14ac:dyDescent="0.25">
      <c r="A33" s="9">
        <v>31</v>
      </c>
      <c r="B33" s="4" t="s">
        <v>61</v>
      </c>
      <c r="C33" s="4" t="s">
        <v>52</v>
      </c>
      <c r="D33" s="4" t="s">
        <v>174</v>
      </c>
      <c r="E33" s="7" t="s">
        <v>174</v>
      </c>
      <c r="F33" s="4" t="s">
        <v>229</v>
      </c>
      <c r="H33" s="8" t="s">
        <v>127</v>
      </c>
      <c r="I33" s="7">
        <f t="shared" si="0"/>
        <v>15</v>
      </c>
      <c r="J33" s="7" t="b">
        <f t="shared" si="1"/>
        <v>1</v>
      </c>
      <c r="K33" s="4" t="s">
        <v>52</v>
      </c>
      <c r="L33" s="4" t="s">
        <v>137</v>
      </c>
    </row>
    <row r="34" spans="1:12" x14ac:dyDescent="0.25">
      <c r="A34" s="9">
        <v>32</v>
      </c>
      <c r="B34" s="4" t="s">
        <v>226</v>
      </c>
      <c r="C34" s="4" t="s">
        <v>201</v>
      </c>
      <c r="D34" s="4" t="s">
        <v>227</v>
      </c>
      <c r="E34" s="7" t="s">
        <v>224</v>
      </c>
      <c r="F34" s="4" t="s">
        <v>99</v>
      </c>
      <c r="H34" s="8" t="s">
        <v>141</v>
      </c>
      <c r="I34" s="7">
        <f t="shared" si="0"/>
        <v>15</v>
      </c>
      <c r="J34" s="7" t="b">
        <f t="shared" si="1"/>
        <v>1</v>
      </c>
      <c r="K34" s="4" t="s">
        <v>168</v>
      </c>
      <c r="L34" s="6" t="s">
        <v>238</v>
      </c>
    </row>
    <row r="35" spans="1:12" x14ac:dyDescent="0.25">
      <c r="A35" s="9">
        <v>33</v>
      </c>
      <c r="B35" s="4" t="s">
        <v>158</v>
      </c>
      <c r="C35" s="4" t="s">
        <v>156</v>
      </c>
      <c r="D35" s="4" t="s">
        <v>216</v>
      </c>
      <c r="E35" s="7" t="s">
        <v>228</v>
      </c>
      <c r="F35" s="4" t="s">
        <v>233</v>
      </c>
      <c r="H35" s="8" t="s">
        <v>231</v>
      </c>
      <c r="I35" s="7">
        <f t="shared" si="0"/>
        <v>15</v>
      </c>
      <c r="J35" s="7" t="b">
        <f t="shared" si="1"/>
        <v>1</v>
      </c>
      <c r="K35" s="4" t="s">
        <v>196</v>
      </c>
      <c r="L35" s="6" t="s">
        <v>241</v>
      </c>
    </row>
    <row r="36" spans="1:12" x14ac:dyDescent="0.25">
      <c r="A36" s="9">
        <v>34</v>
      </c>
      <c r="B36" s="4" t="s">
        <v>189</v>
      </c>
      <c r="C36" s="4" t="s">
        <v>122</v>
      </c>
      <c r="D36" s="4" t="s">
        <v>232</v>
      </c>
      <c r="E36" s="7" t="s">
        <v>230</v>
      </c>
      <c r="F36" s="4" t="s">
        <v>237</v>
      </c>
      <c r="H36" s="8" t="s">
        <v>234</v>
      </c>
      <c r="I36" s="7">
        <f t="shared" si="0"/>
        <v>15</v>
      </c>
      <c r="J36" s="7" t="b">
        <f t="shared" si="1"/>
        <v>1</v>
      </c>
      <c r="K36" s="4" t="s">
        <v>154</v>
      </c>
      <c r="L36" s="6" t="s">
        <v>98</v>
      </c>
    </row>
    <row r="37" spans="1:12" x14ac:dyDescent="0.25">
      <c r="A37" s="9">
        <v>35</v>
      </c>
      <c r="B37" s="4" t="s">
        <v>57</v>
      </c>
      <c r="C37" s="4" t="s">
        <v>96</v>
      </c>
      <c r="D37" s="4" t="s">
        <v>235</v>
      </c>
      <c r="E37" s="7" t="s">
        <v>98</v>
      </c>
      <c r="H37" s="8" t="s">
        <v>111</v>
      </c>
      <c r="I37" s="7">
        <f t="shared" si="0"/>
        <v>15</v>
      </c>
      <c r="J37" s="7" t="b">
        <f t="shared" si="1"/>
        <v>1</v>
      </c>
      <c r="K37" s="4" t="s">
        <v>158</v>
      </c>
      <c r="L37" s="6" t="s">
        <v>245</v>
      </c>
    </row>
    <row r="38" spans="1:12" x14ac:dyDescent="0.25">
      <c r="A38" s="9">
        <v>36</v>
      </c>
      <c r="B38" s="4" t="s">
        <v>184</v>
      </c>
      <c r="C38" s="4" t="s">
        <v>237</v>
      </c>
      <c r="D38" s="4" t="s">
        <v>192</v>
      </c>
      <c r="E38" s="7" t="s">
        <v>236</v>
      </c>
      <c r="H38" s="8" t="s">
        <v>240</v>
      </c>
      <c r="I38" s="7">
        <f t="shared" si="0"/>
        <v>15</v>
      </c>
      <c r="J38" s="7" t="b">
        <f t="shared" si="1"/>
        <v>1</v>
      </c>
      <c r="K38" s="4" t="s">
        <v>140</v>
      </c>
      <c r="L38" s="4" t="s">
        <v>248</v>
      </c>
    </row>
    <row r="39" spans="1:12" x14ac:dyDescent="0.25">
      <c r="A39" s="9">
        <v>37</v>
      </c>
      <c r="B39" s="4" t="s">
        <v>201</v>
      </c>
      <c r="C39" s="4" t="s">
        <v>242</v>
      </c>
      <c r="D39" s="4" t="s">
        <v>128</v>
      </c>
      <c r="E39" s="7" t="s">
        <v>239</v>
      </c>
      <c r="H39" s="8" t="s">
        <v>206</v>
      </c>
      <c r="I39" s="7">
        <f t="shared" si="0"/>
        <v>15</v>
      </c>
      <c r="J39" s="7" t="b">
        <f t="shared" si="1"/>
        <v>1</v>
      </c>
      <c r="K39" s="4" t="s">
        <v>165</v>
      </c>
      <c r="L39" s="6" t="s">
        <v>250</v>
      </c>
    </row>
    <row r="40" spans="1:12" x14ac:dyDescent="0.25">
      <c r="A40" s="9">
        <v>38</v>
      </c>
      <c r="B40" s="4" t="s">
        <v>148</v>
      </c>
      <c r="C40" s="4" t="s">
        <v>206</v>
      </c>
      <c r="D40" s="4" t="s">
        <v>244</v>
      </c>
      <c r="E40" s="7" t="s">
        <v>243</v>
      </c>
      <c r="H40" s="8" t="s">
        <v>90</v>
      </c>
      <c r="I40" s="7">
        <f t="shared" si="0"/>
        <v>11</v>
      </c>
      <c r="J40" s="7" t="b">
        <f t="shared" si="1"/>
        <v>1</v>
      </c>
      <c r="K40" s="4" t="s">
        <v>122</v>
      </c>
      <c r="L40" s="4" t="s">
        <v>44</v>
      </c>
    </row>
    <row r="41" spans="1:12" x14ac:dyDescent="0.25">
      <c r="A41" s="9">
        <v>39</v>
      </c>
      <c r="B41" s="4" t="s">
        <v>183</v>
      </c>
      <c r="C41" s="4" t="s">
        <v>94</v>
      </c>
      <c r="D41" s="4" t="s">
        <v>246</v>
      </c>
      <c r="E41" s="7" t="s">
        <v>197</v>
      </c>
      <c r="H41" s="8" t="s">
        <v>63</v>
      </c>
      <c r="I41" s="7">
        <f t="shared" si="0"/>
        <v>11</v>
      </c>
      <c r="J41" s="7" t="b">
        <f t="shared" si="1"/>
        <v>1</v>
      </c>
      <c r="K41" s="4" t="s">
        <v>156</v>
      </c>
      <c r="L41" s="6" t="s">
        <v>258</v>
      </c>
    </row>
    <row r="42" spans="1:12" x14ac:dyDescent="0.25">
      <c r="A42" s="9">
        <v>40</v>
      </c>
      <c r="B42" s="4" t="s">
        <v>157</v>
      </c>
      <c r="C42" s="4" t="s">
        <v>139</v>
      </c>
      <c r="D42" s="4" t="s">
        <v>186</v>
      </c>
      <c r="E42" s="7" t="s">
        <v>247</v>
      </c>
      <c r="H42" s="8" t="s">
        <v>64</v>
      </c>
      <c r="I42" s="7">
        <f t="shared" si="0"/>
        <v>11</v>
      </c>
      <c r="J42" s="7" t="b">
        <f t="shared" si="1"/>
        <v>1</v>
      </c>
      <c r="K42" s="4" t="s">
        <v>96</v>
      </c>
      <c r="L42" s="4" t="s">
        <v>55</v>
      </c>
    </row>
    <row r="43" spans="1:12" x14ac:dyDescent="0.25">
      <c r="A43" s="9">
        <v>41</v>
      </c>
      <c r="B43" s="4" t="s">
        <v>251</v>
      </c>
      <c r="C43" s="4" t="s">
        <v>198</v>
      </c>
      <c r="D43" s="4" t="s">
        <v>252</v>
      </c>
      <c r="E43" s="7" t="s">
        <v>215</v>
      </c>
      <c r="H43" s="8" t="s">
        <v>207</v>
      </c>
      <c r="I43" s="7">
        <f t="shared" si="0"/>
        <v>11</v>
      </c>
      <c r="J43" s="7" t="b">
        <f t="shared" si="1"/>
        <v>1</v>
      </c>
      <c r="K43" s="4" t="s">
        <v>201</v>
      </c>
      <c r="L43" s="4" t="s">
        <v>113</v>
      </c>
    </row>
    <row r="44" spans="1:12" x14ac:dyDescent="0.25">
      <c r="A44" s="9">
        <v>42</v>
      </c>
      <c r="B44" s="4" t="s">
        <v>94</v>
      </c>
      <c r="C44" s="4" t="s">
        <v>255</v>
      </c>
      <c r="D44" s="4" t="s">
        <v>204</v>
      </c>
      <c r="E44" s="7" t="s">
        <v>253</v>
      </c>
      <c r="H44" s="8" t="s">
        <v>223</v>
      </c>
      <c r="I44" s="7">
        <f t="shared" si="0"/>
        <v>11</v>
      </c>
      <c r="J44" s="7" t="b">
        <f t="shared" si="1"/>
        <v>1</v>
      </c>
      <c r="K44" s="4" t="s">
        <v>249</v>
      </c>
      <c r="L44" s="6" t="s">
        <v>218</v>
      </c>
    </row>
    <row r="45" spans="1:12" x14ac:dyDescent="0.25">
      <c r="A45" s="9">
        <v>43</v>
      </c>
      <c r="B45" s="4" t="s">
        <v>259</v>
      </c>
      <c r="C45" s="4" t="s">
        <v>61</v>
      </c>
      <c r="D45" s="4" t="s">
        <v>260</v>
      </c>
      <c r="E45" s="7" t="s">
        <v>256</v>
      </c>
      <c r="H45" s="8" t="s">
        <v>55</v>
      </c>
      <c r="I45" s="7">
        <f t="shared" si="0"/>
        <v>11</v>
      </c>
      <c r="J45" s="7" t="b">
        <f t="shared" si="1"/>
        <v>1</v>
      </c>
      <c r="K45" s="4" t="s">
        <v>254</v>
      </c>
      <c r="L45" s="6" t="s">
        <v>174</v>
      </c>
    </row>
    <row r="46" spans="1:12" x14ac:dyDescent="0.25">
      <c r="A46" s="9">
        <v>44</v>
      </c>
      <c r="B46" s="4" t="s">
        <v>168</v>
      </c>
      <c r="C46" s="4" t="s">
        <v>262</v>
      </c>
      <c r="D46" s="4" t="s">
        <v>54</v>
      </c>
      <c r="E46" s="7" t="s">
        <v>181</v>
      </c>
      <c r="H46" s="8" t="s">
        <v>119</v>
      </c>
      <c r="I46" s="7">
        <f t="shared" si="0"/>
        <v>11</v>
      </c>
      <c r="J46" s="7" t="b">
        <f t="shared" si="1"/>
        <v>1</v>
      </c>
      <c r="K46" s="4" t="s">
        <v>257</v>
      </c>
      <c r="L46" s="6" t="s">
        <v>152</v>
      </c>
    </row>
    <row r="47" spans="1:12" x14ac:dyDescent="0.25">
      <c r="A47" s="9">
        <v>45</v>
      </c>
      <c r="B47" s="4" t="s">
        <v>52</v>
      </c>
      <c r="C47" s="4" t="s">
        <v>105</v>
      </c>
      <c r="D47" s="4" t="s">
        <v>263</v>
      </c>
      <c r="E47" s="7" t="s">
        <v>250</v>
      </c>
      <c r="H47" s="8" t="s">
        <v>177</v>
      </c>
      <c r="I47" s="7">
        <f t="shared" si="0"/>
        <v>11</v>
      </c>
      <c r="J47" s="7" t="b">
        <f t="shared" si="1"/>
        <v>1</v>
      </c>
      <c r="K47" s="4" t="s">
        <v>261</v>
      </c>
      <c r="L47" s="6" t="s">
        <v>58</v>
      </c>
    </row>
    <row r="48" spans="1:12" x14ac:dyDescent="0.25">
      <c r="A48" s="9">
        <v>46</v>
      </c>
      <c r="B48" s="4" t="s">
        <v>127</v>
      </c>
      <c r="C48" s="4" t="s">
        <v>265</v>
      </c>
      <c r="D48" s="4" t="s">
        <v>60</v>
      </c>
      <c r="E48" s="7" t="s">
        <v>186</v>
      </c>
      <c r="H48" s="8" t="s">
        <v>148</v>
      </c>
      <c r="I48" s="7">
        <f t="shared" si="0"/>
        <v>11</v>
      </c>
      <c r="J48" s="7" t="b">
        <f t="shared" si="1"/>
        <v>1</v>
      </c>
      <c r="K48" s="4" t="s">
        <v>231</v>
      </c>
      <c r="L48" s="6" t="s">
        <v>272</v>
      </c>
    </row>
    <row r="49" spans="1:12" x14ac:dyDescent="0.25">
      <c r="A49" s="9">
        <v>47</v>
      </c>
      <c r="B49" s="4" t="s">
        <v>146</v>
      </c>
      <c r="C49" s="4" t="s">
        <v>195</v>
      </c>
      <c r="D49" s="4" t="s">
        <v>55</v>
      </c>
      <c r="E49" s="7" t="s">
        <v>266</v>
      </c>
      <c r="H49" s="8" t="s">
        <v>57</v>
      </c>
      <c r="I49" s="7">
        <f t="shared" si="0"/>
        <v>11</v>
      </c>
      <c r="J49" s="7" t="b">
        <f t="shared" si="1"/>
        <v>1</v>
      </c>
      <c r="K49" s="4" t="s">
        <v>264</v>
      </c>
      <c r="L49" s="6" t="s">
        <v>180</v>
      </c>
    </row>
    <row r="50" spans="1:12" x14ac:dyDescent="0.25">
      <c r="A50" s="9">
        <v>48</v>
      </c>
      <c r="B50" s="4" t="s">
        <v>187</v>
      </c>
      <c r="C50" s="4" t="s">
        <v>183</v>
      </c>
      <c r="D50" s="4" t="s">
        <v>63</v>
      </c>
      <c r="E50" s="7" t="s">
        <v>267</v>
      </c>
      <c r="H50" s="8" t="s">
        <v>220</v>
      </c>
      <c r="I50" s="7">
        <f t="shared" si="0"/>
        <v>11</v>
      </c>
      <c r="J50" s="7" t="b">
        <f t="shared" si="1"/>
        <v>1</v>
      </c>
      <c r="K50" s="4" t="s">
        <v>239</v>
      </c>
      <c r="L50" s="6" t="s">
        <v>278</v>
      </c>
    </row>
    <row r="51" spans="1:12" x14ac:dyDescent="0.25">
      <c r="A51" s="9">
        <v>49</v>
      </c>
      <c r="B51" s="4" t="s">
        <v>269</v>
      </c>
      <c r="C51" s="4" t="s">
        <v>270</v>
      </c>
      <c r="D51" s="4" t="s">
        <v>64</v>
      </c>
      <c r="E51" s="7" t="s">
        <v>196</v>
      </c>
      <c r="H51" s="8" t="s">
        <v>245</v>
      </c>
      <c r="I51" s="7">
        <f t="shared" si="0"/>
        <v>11</v>
      </c>
      <c r="J51" s="7" t="b">
        <f t="shared" si="1"/>
        <v>1</v>
      </c>
      <c r="K51" s="4" t="s">
        <v>173</v>
      </c>
      <c r="L51" s="6" t="s">
        <v>259</v>
      </c>
    </row>
    <row r="52" spans="1:12" x14ac:dyDescent="0.25">
      <c r="A52" s="9">
        <v>50</v>
      </c>
      <c r="B52" s="4" t="s">
        <v>260</v>
      </c>
      <c r="C52" s="4" t="s">
        <v>161</v>
      </c>
      <c r="D52" s="4" t="s">
        <v>273</v>
      </c>
      <c r="E52" s="7" t="s">
        <v>271</v>
      </c>
      <c r="H52" s="8" t="s">
        <v>170</v>
      </c>
      <c r="I52" s="7">
        <f t="shared" si="0"/>
        <v>11</v>
      </c>
      <c r="J52" s="7" t="b">
        <f t="shared" si="1"/>
        <v>1</v>
      </c>
      <c r="K52" s="4" t="s">
        <v>84</v>
      </c>
      <c r="L52" s="6" t="s">
        <v>256</v>
      </c>
    </row>
    <row r="53" spans="1:12" x14ac:dyDescent="0.25">
      <c r="A53" s="9">
        <v>51</v>
      </c>
      <c r="B53" s="4" t="s">
        <v>169</v>
      </c>
      <c r="C53" s="4" t="s">
        <v>274</v>
      </c>
      <c r="D53" s="4" t="s">
        <v>275</v>
      </c>
      <c r="E53" s="7" t="s">
        <v>222</v>
      </c>
      <c r="H53" s="8" t="s">
        <v>277</v>
      </c>
      <c r="I53" s="7">
        <f t="shared" si="0"/>
        <v>11</v>
      </c>
      <c r="J53" s="7" t="b">
        <f t="shared" si="1"/>
        <v>1</v>
      </c>
      <c r="K53" s="4" t="s">
        <v>268</v>
      </c>
      <c r="L53" s="6" t="s">
        <v>286</v>
      </c>
    </row>
    <row r="54" spans="1:12" x14ac:dyDescent="0.25">
      <c r="A54" s="9">
        <v>52</v>
      </c>
      <c r="B54" s="4" t="s">
        <v>245</v>
      </c>
      <c r="C54" s="4" t="s">
        <v>75</v>
      </c>
      <c r="D54" s="4" t="s">
        <v>277</v>
      </c>
      <c r="E54" s="7" t="s">
        <v>276</v>
      </c>
      <c r="H54" s="8" t="s">
        <v>82</v>
      </c>
      <c r="I54" s="7">
        <f t="shared" si="0"/>
        <v>11</v>
      </c>
      <c r="J54" s="7" t="b">
        <f t="shared" si="1"/>
        <v>1</v>
      </c>
      <c r="K54" s="4" t="s">
        <v>108</v>
      </c>
      <c r="L54" s="6" t="s">
        <v>124</v>
      </c>
    </row>
    <row r="55" spans="1:12" x14ac:dyDescent="0.25">
      <c r="A55" s="9">
        <v>53</v>
      </c>
      <c r="B55" s="4" t="s">
        <v>177</v>
      </c>
      <c r="C55" s="4" t="s">
        <v>279</v>
      </c>
      <c r="D55" s="4" t="s">
        <v>280</v>
      </c>
      <c r="E55" s="7" t="s">
        <v>246</v>
      </c>
      <c r="H55" s="8" t="s">
        <v>260</v>
      </c>
      <c r="I55" s="7">
        <f t="shared" si="0"/>
        <v>11</v>
      </c>
      <c r="J55" s="7" t="b">
        <f t="shared" si="1"/>
        <v>1</v>
      </c>
      <c r="K55" s="8" t="s">
        <v>215</v>
      </c>
      <c r="L55" s="6" t="s">
        <v>120</v>
      </c>
    </row>
    <row r="56" spans="1:12" x14ac:dyDescent="0.25">
      <c r="A56" s="9">
        <v>54</v>
      </c>
      <c r="B56" s="4" t="s">
        <v>102</v>
      </c>
      <c r="C56" s="4" t="s">
        <v>283</v>
      </c>
      <c r="D56" s="4" t="s">
        <v>284</v>
      </c>
      <c r="E56" s="7" t="s">
        <v>281</v>
      </c>
      <c r="H56" s="8" t="s">
        <v>272</v>
      </c>
      <c r="I56" s="7">
        <f t="shared" si="0"/>
        <v>11</v>
      </c>
      <c r="J56" s="7" t="b">
        <f t="shared" si="1"/>
        <v>1</v>
      </c>
      <c r="K56" s="4" t="s">
        <v>102</v>
      </c>
      <c r="L56" s="4" t="s">
        <v>159</v>
      </c>
    </row>
    <row r="57" spans="1:12" x14ac:dyDescent="0.25">
      <c r="A57" s="9">
        <v>55</v>
      </c>
      <c r="B57" s="4" t="s">
        <v>287</v>
      </c>
      <c r="C57" s="4" t="s">
        <v>193</v>
      </c>
      <c r="D57" s="4" t="s">
        <v>288</v>
      </c>
      <c r="E57" s="7" t="s">
        <v>285</v>
      </c>
      <c r="H57" s="8" t="s">
        <v>24</v>
      </c>
      <c r="I57" s="7">
        <f t="shared" si="0"/>
        <v>11</v>
      </c>
      <c r="J57" s="7" t="b">
        <f t="shared" si="1"/>
        <v>1</v>
      </c>
      <c r="K57" s="4" t="s">
        <v>94</v>
      </c>
      <c r="L57" s="4" t="s">
        <v>99</v>
      </c>
    </row>
    <row r="58" spans="1:12" x14ac:dyDescent="0.25">
      <c r="A58" s="9">
        <v>56</v>
      </c>
      <c r="B58" s="4" t="s">
        <v>108</v>
      </c>
      <c r="C58" s="4" t="s">
        <v>234</v>
      </c>
      <c r="D58" s="4" t="s">
        <v>290</v>
      </c>
      <c r="E58" s="7" t="s">
        <v>289</v>
      </c>
      <c r="H58" s="8" t="s">
        <v>72</v>
      </c>
      <c r="I58" s="7">
        <f t="shared" si="0"/>
        <v>11</v>
      </c>
      <c r="J58" s="7" t="b">
        <f t="shared" si="1"/>
        <v>1</v>
      </c>
      <c r="K58" s="4" t="s">
        <v>282</v>
      </c>
      <c r="L58" s="4" t="s">
        <v>285</v>
      </c>
    </row>
    <row r="59" spans="1:12" x14ac:dyDescent="0.25">
      <c r="A59" s="9">
        <v>57</v>
      </c>
      <c r="B59" s="4" t="s">
        <v>95</v>
      </c>
      <c r="C59" s="4" t="s">
        <v>150</v>
      </c>
      <c r="D59" s="4" t="s">
        <v>272</v>
      </c>
      <c r="E59" s="7" t="s">
        <v>114</v>
      </c>
      <c r="H59" s="8" t="s">
        <v>287</v>
      </c>
      <c r="I59" s="7">
        <f t="shared" si="0"/>
        <v>11</v>
      </c>
      <c r="J59" s="7" t="b">
        <f t="shared" si="1"/>
        <v>1</v>
      </c>
      <c r="K59" s="4" t="s">
        <v>233</v>
      </c>
      <c r="L59" s="4" t="s">
        <v>295</v>
      </c>
    </row>
    <row r="60" spans="1:12" x14ac:dyDescent="0.25">
      <c r="A60" s="9">
        <v>58</v>
      </c>
      <c r="B60" s="4" t="s">
        <v>159</v>
      </c>
      <c r="C60" s="4" t="s">
        <v>291</v>
      </c>
      <c r="D60" s="4" t="s">
        <v>207</v>
      </c>
      <c r="E60" s="7" t="s">
        <v>81</v>
      </c>
      <c r="H60" s="8" t="s">
        <v>216</v>
      </c>
      <c r="I60" s="7">
        <f t="shared" si="0"/>
        <v>11</v>
      </c>
      <c r="J60" s="7" t="b">
        <f t="shared" si="1"/>
        <v>1</v>
      </c>
      <c r="K60" s="4" t="s">
        <v>229</v>
      </c>
      <c r="L60" s="4" t="s">
        <v>172</v>
      </c>
    </row>
    <row r="61" spans="1:12" x14ac:dyDescent="0.25">
      <c r="A61" s="9">
        <v>59</v>
      </c>
      <c r="B61" s="4" t="s">
        <v>70</v>
      </c>
      <c r="C61" s="4" t="s">
        <v>108</v>
      </c>
      <c r="D61" s="4" t="s">
        <v>256</v>
      </c>
      <c r="E61" s="7" t="s">
        <v>244</v>
      </c>
      <c r="H61" s="8" t="s">
        <v>210</v>
      </c>
      <c r="I61" s="7">
        <f t="shared" si="0"/>
        <v>11</v>
      </c>
      <c r="J61" s="7" t="b">
        <f t="shared" si="1"/>
        <v>1</v>
      </c>
      <c r="K61" s="4" t="s">
        <v>187</v>
      </c>
      <c r="L61" s="4" t="s">
        <v>164</v>
      </c>
    </row>
    <row r="62" spans="1:12" x14ac:dyDescent="0.25">
      <c r="A62" s="9">
        <v>60</v>
      </c>
      <c r="B62" s="4" t="s">
        <v>132</v>
      </c>
      <c r="C62" s="4" t="s">
        <v>292</v>
      </c>
      <c r="D62" s="4" t="s">
        <v>248</v>
      </c>
      <c r="E62" s="7" t="s">
        <v>235</v>
      </c>
      <c r="H62" s="8" t="s">
        <v>184</v>
      </c>
      <c r="I62" s="7">
        <f t="shared" si="0"/>
        <v>11</v>
      </c>
      <c r="J62" s="7" t="b">
        <f t="shared" si="1"/>
        <v>1</v>
      </c>
      <c r="K62" s="4" t="s">
        <v>269</v>
      </c>
      <c r="L62" s="4" t="s">
        <v>281</v>
      </c>
    </row>
    <row r="63" spans="1:12" x14ac:dyDescent="0.25">
      <c r="A63" s="9">
        <v>61</v>
      </c>
      <c r="B63" s="4" t="s">
        <v>206</v>
      </c>
      <c r="C63" s="4" t="s">
        <v>293</v>
      </c>
      <c r="D63" s="4" t="s">
        <v>294</v>
      </c>
      <c r="E63" s="7" t="s">
        <v>109</v>
      </c>
      <c r="H63" s="8" t="s">
        <v>189</v>
      </c>
      <c r="I63" s="7">
        <f t="shared" si="0"/>
        <v>11</v>
      </c>
      <c r="J63" s="7" t="b">
        <f t="shared" si="1"/>
        <v>1</v>
      </c>
      <c r="K63" s="4" t="s">
        <v>219</v>
      </c>
      <c r="L63" s="4" t="s">
        <v>300</v>
      </c>
    </row>
    <row r="64" spans="1:12" x14ac:dyDescent="0.25">
      <c r="A64" s="9">
        <v>62</v>
      </c>
      <c r="B64" s="4" t="s">
        <v>44</v>
      </c>
      <c r="C64" s="4" t="s">
        <v>296</v>
      </c>
      <c r="D64" s="4" t="s">
        <v>113</v>
      </c>
      <c r="E64" s="7" t="s">
        <v>264</v>
      </c>
      <c r="H64" s="8" t="s">
        <v>238</v>
      </c>
      <c r="I64" s="7">
        <f t="shared" si="0"/>
        <v>11</v>
      </c>
      <c r="J64" s="7" t="b">
        <f t="shared" si="1"/>
        <v>1</v>
      </c>
      <c r="K64" s="4" t="s">
        <v>150</v>
      </c>
      <c r="L64" s="4" t="s">
        <v>210</v>
      </c>
    </row>
    <row r="65" spans="1:12" x14ac:dyDescent="0.25">
      <c r="A65" s="9">
        <v>63</v>
      </c>
      <c r="B65" s="4" t="s">
        <v>268</v>
      </c>
      <c r="C65" s="4" t="s">
        <v>120</v>
      </c>
      <c r="D65" s="4" t="s">
        <v>241</v>
      </c>
      <c r="E65" s="7" t="s">
        <v>297</v>
      </c>
      <c r="H65" s="8" t="s">
        <v>172</v>
      </c>
      <c r="I65" s="7">
        <f t="shared" si="0"/>
        <v>11</v>
      </c>
      <c r="J65" s="7" t="b">
        <f t="shared" si="1"/>
        <v>1</v>
      </c>
      <c r="K65" s="4" t="s">
        <v>193</v>
      </c>
      <c r="L65" s="4" t="s">
        <v>198</v>
      </c>
    </row>
    <row r="66" spans="1:12" x14ac:dyDescent="0.25">
      <c r="A66" s="9">
        <v>64</v>
      </c>
      <c r="B66" s="4" t="s">
        <v>299</v>
      </c>
      <c r="C66" s="4" t="s">
        <v>219</v>
      </c>
      <c r="D66" s="4" t="s">
        <v>245</v>
      </c>
      <c r="E66" s="7" t="s">
        <v>286</v>
      </c>
      <c r="H66" s="8" t="s">
        <v>74</v>
      </c>
      <c r="I66" s="7">
        <f t="shared" ref="I66:I129" si="2">COUNTIF(B:B,H66)*10+COUNTIF(C:C,H66)*5+COUNTIF(E:E,H66)*2+COUNTIF(D:D,H66)+COUNTIF(F:F,H66)*0.1+COUNTIF(G:G,H66)*0.01</f>
        <v>11</v>
      </c>
      <c r="J66" s="7" t="b">
        <f t="shared" ref="J66:J129" si="3">COUNTIF(K$2:L$101,H66)&gt;0</f>
        <v>1</v>
      </c>
      <c r="K66" s="4" t="s">
        <v>237</v>
      </c>
      <c r="L66" s="4" t="s">
        <v>185</v>
      </c>
    </row>
    <row r="67" spans="1:12" x14ac:dyDescent="0.25">
      <c r="A67" s="9">
        <v>65</v>
      </c>
      <c r="B67" s="4" t="s">
        <v>134</v>
      </c>
      <c r="C67" s="4" t="s">
        <v>134</v>
      </c>
      <c r="D67" s="4" t="s">
        <v>177</v>
      </c>
      <c r="H67" s="8" t="s">
        <v>40</v>
      </c>
      <c r="I67" s="7">
        <f t="shared" si="2"/>
        <v>11</v>
      </c>
      <c r="J67" s="7" t="b">
        <f t="shared" si="3"/>
        <v>1</v>
      </c>
      <c r="K67" s="4" t="s">
        <v>298</v>
      </c>
      <c r="L67" s="4" t="s">
        <v>222</v>
      </c>
    </row>
    <row r="68" spans="1:12" x14ac:dyDescent="0.25">
      <c r="A68" s="9">
        <v>66</v>
      </c>
      <c r="B68" s="4" t="s">
        <v>150</v>
      </c>
      <c r="C68" s="4" t="s">
        <v>301</v>
      </c>
      <c r="D68" s="4" t="s">
        <v>302</v>
      </c>
      <c r="H68" s="8" t="s">
        <v>128</v>
      </c>
      <c r="I68" s="7">
        <f t="shared" si="2"/>
        <v>11</v>
      </c>
      <c r="J68" s="7" t="b">
        <f t="shared" si="3"/>
        <v>1</v>
      </c>
      <c r="K68" s="4" t="s">
        <v>86</v>
      </c>
      <c r="L68" s="4" t="s">
        <v>208</v>
      </c>
    </row>
    <row r="69" spans="1:12" x14ac:dyDescent="0.25">
      <c r="A69" s="9">
        <v>67</v>
      </c>
      <c r="B69" s="4" t="s">
        <v>205</v>
      </c>
      <c r="C69" s="4" t="s">
        <v>303</v>
      </c>
      <c r="D69" s="4" t="s">
        <v>137</v>
      </c>
      <c r="H69" s="8" t="s">
        <v>112</v>
      </c>
      <c r="I69" s="7">
        <f t="shared" si="2"/>
        <v>11</v>
      </c>
      <c r="J69" s="7" t="b">
        <f t="shared" si="3"/>
        <v>1</v>
      </c>
      <c r="K69" s="4" t="s">
        <v>105</v>
      </c>
      <c r="L69" s="4" t="s">
        <v>178</v>
      </c>
    </row>
    <row r="70" spans="1:12" x14ac:dyDescent="0.25">
      <c r="A70" s="9">
        <v>68</v>
      </c>
      <c r="B70" s="4" t="s">
        <v>53</v>
      </c>
      <c r="C70" s="4" t="s">
        <v>304</v>
      </c>
      <c r="D70" s="4" t="s">
        <v>103</v>
      </c>
      <c r="H70" s="8" t="s">
        <v>104</v>
      </c>
      <c r="I70" s="7">
        <f t="shared" si="2"/>
        <v>11</v>
      </c>
      <c r="J70" s="7" t="b">
        <f t="shared" si="3"/>
        <v>1</v>
      </c>
      <c r="K70" s="4" t="s">
        <v>89</v>
      </c>
      <c r="L70" s="4" t="s">
        <v>230</v>
      </c>
    </row>
    <row r="71" spans="1:12" x14ac:dyDescent="0.25">
      <c r="A71" s="9">
        <v>69</v>
      </c>
      <c r="B71" s="4" t="s">
        <v>117</v>
      </c>
      <c r="C71" s="4" t="s">
        <v>305</v>
      </c>
      <c r="D71" s="4" t="s">
        <v>286</v>
      </c>
      <c r="H71" s="8" t="s">
        <v>159</v>
      </c>
      <c r="I71" s="7">
        <f t="shared" si="2"/>
        <v>11</v>
      </c>
      <c r="J71" s="7" t="b">
        <f t="shared" si="3"/>
        <v>1</v>
      </c>
      <c r="K71" s="4" t="s">
        <v>75</v>
      </c>
      <c r="L71" s="4" t="s">
        <v>76</v>
      </c>
    </row>
    <row r="72" spans="1:12" x14ac:dyDescent="0.25">
      <c r="A72" s="9">
        <v>70</v>
      </c>
      <c r="B72" s="4" t="s">
        <v>295</v>
      </c>
      <c r="C72" s="4" t="s">
        <v>231</v>
      </c>
      <c r="D72" s="4" t="s">
        <v>220</v>
      </c>
      <c r="H72" s="8" t="s">
        <v>152</v>
      </c>
      <c r="I72" s="7">
        <f t="shared" si="2"/>
        <v>11</v>
      </c>
      <c r="J72" s="7" t="b">
        <f t="shared" si="3"/>
        <v>1</v>
      </c>
      <c r="K72" s="4" t="s">
        <v>95</v>
      </c>
      <c r="L72" s="4" t="s">
        <v>235</v>
      </c>
    </row>
    <row r="73" spans="1:12" x14ac:dyDescent="0.25">
      <c r="A73" s="9">
        <v>71</v>
      </c>
      <c r="B73" s="4" t="s">
        <v>238</v>
      </c>
      <c r="C73" s="4" t="s">
        <v>264</v>
      </c>
      <c r="D73" s="4" t="s">
        <v>306</v>
      </c>
      <c r="H73" s="8" t="s">
        <v>278</v>
      </c>
      <c r="I73" s="7">
        <f t="shared" si="2"/>
        <v>11</v>
      </c>
      <c r="J73" s="7" t="b">
        <f t="shared" si="3"/>
        <v>1</v>
      </c>
      <c r="K73" s="6" t="s">
        <v>183</v>
      </c>
      <c r="L73" s="4" t="s">
        <v>232</v>
      </c>
    </row>
    <row r="74" spans="1:12" x14ac:dyDescent="0.25">
      <c r="A74" s="9">
        <v>72</v>
      </c>
      <c r="B74" s="4" t="s">
        <v>240</v>
      </c>
      <c r="C74" s="4" t="s">
        <v>239</v>
      </c>
      <c r="D74" s="4" t="s">
        <v>308</v>
      </c>
      <c r="H74" s="8" t="s">
        <v>46</v>
      </c>
      <c r="I74" s="7">
        <f t="shared" si="2"/>
        <v>11</v>
      </c>
      <c r="J74" s="7" t="b">
        <f t="shared" si="3"/>
        <v>1</v>
      </c>
      <c r="K74" s="4" t="s">
        <v>146</v>
      </c>
      <c r="L74" s="4" t="s">
        <v>498</v>
      </c>
    </row>
    <row r="75" spans="1:12" x14ac:dyDescent="0.25">
      <c r="A75" s="9">
        <v>73</v>
      </c>
      <c r="B75" s="4" t="s">
        <v>141</v>
      </c>
      <c r="C75" s="4" t="s">
        <v>309</v>
      </c>
      <c r="D75" s="4" t="s">
        <v>180</v>
      </c>
      <c r="H75" s="8" t="s">
        <v>248</v>
      </c>
      <c r="I75" s="7">
        <f t="shared" si="2"/>
        <v>11</v>
      </c>
      <c r="J75" s="7" t="b">
        <f t="shared" si="3"/>
        <v>1</v>
      </c>
      <c r="K75" s="4" t="s">
        <v>143</v>
      </c>
      <c r="L75" s="4" t="s">
        <v>311</v>
      </c>
    </row>
    <row r="76" spans="1:12" x14ac:dyDescent="0.25">
      <c r="A76" s="9">
        <v>74</v>
      </c>
      <c r="B76" s="4" t="s">
        <v>277</v>
      </c>
      <c r="C76" s="4" t="s">
        <v>111</v>
      </c>
      <c r="D76" s="4" t="s">
        <v>218</v>
      </c>
      <c r="H76" s="8" t="s">
        <v>157</v>
      </c>
      <c r="I76" s="7">
        <f t="shared" si="2"/>
        <v>10</v>
      </c>
      <c r="J76" s="7" t="b">
        <f t="shared" si="3"/>
        <v>1</v>
      </c>
      <c r="K76" s="4" t="s">
        <v>209</v>
      </c>
      <c r="L76" s="4" t="s">
        <v>169</v>
      </c>
    </row>
    <row r="77" spans="1:12" x14ac:dyDescent="0.25">
      <c r="A77" s="9">
        <v>75</v>
      </c>
      <c r="B77" s="4" t="s">
        <v>40</v>
      </c>
      <c r="C77" s="4" t="s">
        <v>146</v>
      </c>
      <c r="D77" s="4" t="s">
        <v>238</v>
      </c>
      <c r="H77" s="8" t="s">
        <v>295</v>
      </c>
      <c r="I77" s="7">
        <f t="shared" si="2"/>
        <v>10</v>
      </c>
      <c r="J77" s="7" t="b">
        <f t="shared" si="3"/>
        <v>1</v>
      </c>
      <c r="K77" s="4" t="s">
        <v>212</v>
      </c>
      <c r="L77" s="4" t="s">
        <v>234</v>
      </c>
    </row>
    <row r="78" spans="1:12" x14ac:dyDescent="0.25">
      <c r="A78" s="9">
        <v>76</v>
      </c>
      <c r="B78" s="4" t="s">
        <v>89</v>
      </c>
      <c r="C78" s="4" t="s">
        <v>187</v>
      </c>
      <c r="D78" s="4" t="s">
        <v>222</v>
      </c>
      <c r="H78" s="8" t="s">
        <v>95</v>
      </c>
      <c r="I78" s="7">
        <f t="shared" si="2"/>
        <v>10</v>
      </c>
      <c r="J78" s="7" t="b">
        <f t="shared" si="3"/>
        <v>1</v>
      </c>
      <c r="K78" s="4" t="s">
        <v>307</v>
      </c>
      <c r="L78" s="4" t="s">
        <v>240</v>
      </c>
    </row>
    <row r="79" spans="1:12" x14ac:dyDescent="0.25">
      <c r="A79" s="9">
        <v>77</v>
      </c>
      <c r="B79" s="4" t="s">
        <v>312</v>
      </c>
      <c r="C79" s="4" t="s">
        <v>213</v>
      </c>
      <c r="D79" s="4" t="s">
        <v>170</v>
      </c>
      <c r="H79" s="8" t="s">
        <v>38</v>
      </c>
      <c r="I79" s="7">
        <f t="shared" si="2"/>
        <v>10</v>
      </c>
      <c r="J79" s="7" t="b">
        <f t="shared" si="3"/>
        <v>0</v>
      </c>
      <c r="K79" s="4" t="s">
        <v>100</v>
      </c>
      <c r="L79" s="4" t="s">
        <v>313</v>
      </c>
    </row>
    <row r="80" spans="1:12" x14ac:dyDescent="0.25">
      <c r="A80" s="9">
        <v>78</v>
      </c>
      <c r="B80" s="4" t="s">
        <v>78</v>
      </c>
      <c r="C80" s="4" t="s">
        <v>44</v>
      </c>
      <c r="D80" s="4" t="s">
        <v>189</v>
      </c>
      <c r="H80" s="8" t="s">
        <v>163</v>
      </c>
      <c r="I80" s="7">
        <f t="shared" si="2"/>
        <v>10</v>
      </c>
      <c r="J80" s="7" t="b">
        <f t="shared" si="3"/>
        <v>1</v>
      </c>
      <c r="K80" s="4" t="s">
        <v>291</v>
      </c>
      <c r="L80" s="4" t="s">
        <v>277</v>
      </c>
    </row>
    <row r="81" spans="1:12" x14ac:dyDescent="0.25">
      <c r="A81" s="9">
        <v>79</v>
      </c>
      <c r="B81" s="4" t="s">
        <v>87</v>
      </c>
      <c r="C81" s="4" t="s">
        <v>76</v>
      </c>
      <c r="D81" s="4" t="s">
        <v>314</v>
      </c>
      <c r="H81" s="8" t="s">
        <v>300</v>
      </c>
      <c r="I81" s="7">
        <f t="shared" si="2"/>
        <v>10</v>
      </c>
      <c r="J81" s="7" t="b">
        <f t="shared" si="3"/>
        <v>1</v>
      </c>
      <c r="K81" s="4" t="s">
        <v>70</v>
      </c>
      <c r="L81" s="4" t="s">
        <v>260</v>
      </c>
    </row>
    <row r="82" spans="1:12" x14ac:dyDescent="0.25">
      <c r="A82" s="9">
        <v>80</v>
      </c>
      <c r="B82" s="4" t="s">
        <v>147</v>
      </c>
      <c r="C82" s="4" t="s">
        <v>240</v>
      </c>
      <c r="D82" s="4" t="s">
        <v>313</v>
      </c>
      <c r="H82" s="8" t="s">
        <v>269</v>
      </c>
      <c r="I82" s="7">
        <f t="shared" si="2"/>
        <v>10</v>
      </c>
      <c r="J82" s="7" t="b">
        <f t="shared" si="3"/>
        <v>1</v>
      </c>
      <c r="K82" s="4" t="s">
        <v>310</v>
      </c>
      <c r="L82" s="4" t="s">
        <v>192</v>
      </c>
    </row>
    <row r="83" spans="1:12" x14ac:dyDescent="0.25">
      <c r="A83" s="9">
        <v>81</v>
      </c>
      <c r="B83" s="4" t="s">
        <v>248</v>
      </c>
      <c r="C83" s="4" t="s">
        <v>78</v>
      </c>
      <c r="D83" s="4" t="s">
        <v>155</v>
      </c>
      <c r="H83" s="8" t="s">
        <v>268</v>
      </c>
      <c r="I83" s="7">
        <f t="shared" si="2"/>
        <v>10</v>
      </c>
      <c r="J83" s="7" t="b">
        <f t="shared" si="3"/>
        <v>1</v>
      </c>
      <c r="K83" s="4" t="s">
        <v>481</v>
      </c>
      <c r="L83" s="4" t="s">
        <v>287</v>
      </c>
    </row>
    <row r="84" spans="1:12" x14ac:dyDescent="0.25">
      <c r="A84" s="9">
        <v>82</v>
      </c>
      <c r="B84" s="4" t="s">
        <v>163</v>
      </c>
      <c r="C84" s="4" t="s">
        <v>143</v>
      </c>
      <c r="D84" s="4" t="s">
        <v>315</v>
      </c>
      <c r="H84" s="8" t="s">
        <v>299</v>
      </c>
      <c r="I84" s="7">
        <f t="shared" si="2"/>
        <v>10</v>
      </c>
      <c r="J84" s="7" t="b">
        <f t="shared" si="3"/>
        <v>1</v>
      </c>
      <c r="K84" s="4" t="s">
        <v>289</v>
      </c>
      <c r="L84" s="4" t="s">
        <v>123</v>
      </c>
    </row>
    <row r="85" spans="1:12" x14ac:dyDescent="0.25">
      <c r="A85" s="9">
        <v>83</v>
      </c>
      <c r="B85" s="4" t="s">
        <v>298</v>
      </c>
      <c r="C85" s="4" t="s">
        <v>317</v>
      </c>
      <c r="D85" s="4" t="s">
        <v>49</v>
      </c>
      <c r="H85" s="8" t="s">
        <v>259</v>
      </c>
      <c r="I85" s="7">
        <f t="shared" si="2"/>
        <v>10</v>
      </c>
      <c r="J85" s="7" t="b">
        <f t="shared" si="3"/>
        <v>1</v>
      </c>
      <c r="K85" s="4" t="s">
        <v>190</v>
      </c>
      <c r="L85" s="4" t="s">
        <v>299</v>
      </c>
    </row>
    <row r="86" spans="1:12" x14ac:dyDescent="0.25">
      <c r="A86" s="9">
        <v>84</v>
      </c>
      <c r="B86" s="4" t="s">
        <v>272</v>
      </c>
      <c r="C86" s="4" t="s">
        <v>318</v>
      </c>
      <c r="D86" s="4" t="s">
        <v>287</v>
      </c>
      <c r="H86" s="8" t="s">
        <v>87</v>
      </c>
      <c r="I86" s="7">
        <f t="shared" si="2"/>
        <v>10</v>
      </c>
      <c r="J86" s="7" t="b">
        <f t="shared" si="3"/>
        <v>1</v>
      </c>
      <c r="K86" s="4" t="s">
        <v>131</v>
      </c>
      <c r="L86" s="4" t="s">
        <v>246</v>
      </c>
    </row>
    <row r="87" spans="1:12" x14ac:dyDescent="0.25">
      <c r="A87" s="9">
        <v>85</v>
      </c>
      <c r="B87" s="4" t="s">
        <v>300</v>
      </c>
      <c r="C87" s="4" t="s">
        <v>212</v>
      </c>
      <c r="D87" s="4" t="s">
        <v>46</v>
      </c>
      <c r="H87" s="8" t="s">
        <v>178</v>
      </c>
      <c r="I87" s="7">
        <f t="shared" si="2"/>
        <v>10</v>
      </c>
      <c r="J87" s="7" t="b">
        <f t="shared" si="3"/>
        <v>1</v>
      </c>
      <c r="K87" s="4" t="s">
        <v>205</v>
      </c>
      <c r="L87" s="4" t="s">
        <v>266</v>
      </c>
    </row>
    <row r="88" spans="1:12" x14ac:dyDescent="0.25">
      <c r="A88" s="9">
        <v>86</v>
      </c>
      <c r="B88" s="4" t="s">
        <v>170</v>
      </c>
      <c r="C88" s="4" t="s">
        <v>310</v>
      </c>
      <c r="D88" s="4" t="s">
        <v>278</v>
      </c>
      <c r="H88" s="8" t="s">
        <v>62</v>
      </c>
      <c r="I88" s="7">
        <f t="shared" si="2"/>
        <v>10</v>
      </c>
      <c r="J88" s="7" t="b">
        <f t="shared" si="3"/>
        <v>1</v>
      </c>
      <c r="K88" s="4" t="s">
        <v>316</v>
      </c>
      <c r="L88" s="4" t="s">
        <v>197</v>
      </c>
    </row>
    <row r="89" spans="1:12" x14ac:dyDescent="0.25">
      <c r="A89" s="9">
        <v>87</v>
      </c>
      <c r="B89" s="4" t="s">
        <v>71</v>
      </c>
      <c r="C89" s="4" t="s">
        <v>319</v>
      </c>
      <c r="D89" s="4" t="s">
        <v>124</v>
      </c>
      <c r="H89" s="8" t="s">
        <v>298</v>
      </c>
      <c r="I89" s="7">
        <f t="shared" si="2"/>
        <v>10</v>
      </c>
      <c r="J89" s="7" t="b">
        <f t="shared" si="3"/>
        <v>1</v>
      </c>
      <c r="K89" s="4" t="s">
        <v>59</v>
      </c>
      <c r="L89" s="4" t="s">
        <v>186</v>
      </c>
    </row>
    <row r="90" spans="1:12" x14ac:dyDescent="0.25">
      <c r="A90" s="9">
        <v>88</v>
      </c>
      <c r="B90" s="4" t="s">
        <v>210</v>
      </c>
      <c r="C90" s="4" t="s">
        <v>249</v>
      </c>
      <c r="D90" s="4" t="s">
        <v>320</v>
      </c>
      <c r="H90" s="8" t="s">
        <v>79</v>
      </c>
      <c r="I90" s="7">
        <f t="shared" si="2"/>
        <v>10</v>
      </c>
      <c r="J90" s="7" t="b">
        <f t="shared" si="3"/>
        <v>1</v>
      </c>
      <c r="K90" s="4" t="s">
        <v>228</v>
      </c>
      <c r="L90" s="4" t="s">
        <v>49</v>
      </c>
    </row>
    <row r="91" spans="1:12" x14ac:dyDescent="0.25">
      <c r="A91" s="9">
        <v>89</v>
      </c>
      <c r="B91" s="4" t="s">
        <v>234</v>
      </c>
      <c r="C91" s="4" t="s">
        <v>257</v>
      </c>
      <c r="D91" s="4" t="s">
        <v>258</v>
      </c>
      <c r="H91" s="8" t="s">
        <v>312</v>
      </c>
      <c r="I91" s="7">
        <f t="shared" si="2"/>
        <v>10</v>
      </c>
      <c r="J91" s="7" t="b">
        <f t="shared" si="3"/>
        <v>1</v>
      </c>
      <c r="K91" s="4" t="s">
        <v>243</v>
      </c>
      <c r="L91" s="4" t="s">
        <v>244</v>
      </c>
    </row>
    <row r="92" spans="1:12" x14ac:dyDescent="0.25">
      <c r="A92" s="9">
        <v>90</v>
      </c>
      <c r="B92" s="4" t="s">
        <v>172</v>
      </c>
      <c r="C92" s="4" t="s">
        <v>254</v>
      </c>
      <c r="D92" s="4" t="s">
        <v>321</v>
      </c>
      <c r="H92" s="8" t="s">
        <v>132</v>
      </c>
      <c r="I92" s="7">
        <f t="shared" si="2"/>
        <v>10</v>
      </c>
      <c r="J92" s="7" t="b">
        <f t="shared" si="3"/>
        <v>1</v>
      </c>
      <c r="K92" s="4" t="s">
        <v>114</v>
      </c>
      <c r="L92" s="4" t="s">
        <v>224</v>
      </c>
    </row>
    <row r="93" spans="1:12" x14ac:dyDescent="0.25">
      <c r="A93" s="9">
        <v>91</v>
      </c>
      <c r="B93" s="4" t="s">
        <v>220</v>
      </c>
      <c r="C93" s="4" t="s">
        <v>261</v>
      </c>
      <c r="D93" s="4" t="s">
        <v>322</v>
      </c>
      <c r="H93" s="8" t="s">
        <v>208</v>
      </c>
      <c r="I93" s="7">
        <f t="shared" si="2"/>
        <v>10</v>
      </c>
      <c r="J93" s="7" t="b">
        <f t="shared" si="3"/>
        <v>1</v>
      </c>
      <c r="K93" s="4" t="s">
        <v>236</v>
      </c>
      <c r="L93" s="4" t="s">
        <v>221</v>
      </c>
    </row>
    <row r="94" spans="1:12" x14ac:dyDescent="0.25">
      <c r="A94" s="9">
        <v>92</v>
      </c>
      <c r="B94" s="4" t="s">
        <v>231</v>
      </c>
      <c r="C94" s="4" t="s">
        <v>323</v>
      </c>
      <c r="D94" s="4" t="s">
        <v>223</v>
      </c>
      <c r="H94" s="8" t="s">
        <v>80</v>
      </c>
      <c r="I94" s="7">
        <f t="shared" si="2"/>
        <v>10</v>
      </c>
      <c r="J94" s="7" t="b">
        <f t="shared" si="3"/>
        <v>1</v>
      </c>
      <c r="K94" s="4" t="s">
        <v>267</v>
      </c>
      <c r="L94" s="4" t="s">
        <v>128</v>
      </c>
    </row>
    <row r="95" spans="1:12" x14ac:dyDescent="0.25">
      <c r="A95" s="9">
        <v>93</v>
      </c>
      <c r="B95" s="4" t="s">
        <v>278</v>
      </c>
      <c r="C95" s="4" t="s">
        <v>188</v>
      </c>
      <c r="D95" s="4" t="s">
        <v>324</v>
      </c>
      <c r="H95" s="8" t="s">
        <v>117</v>
      </c>
      <c r="I95" s="7">
        <f t="shared" si="2"/>
        <v>10</v>
      </c>
      <c r="J95" s="7" t="b">
        <f t="shared" si="3"/>
        <v>1</v>
      </c>
      <c r="K95" s="4" t="s">
        <v>271</v>
      </c>
      <c r="L95" s="4" t="s">
        <v>251</v>
      </c>
    </row>
    <row r="96" spans="1:12" x14ac:dyDescent="0.25">
      <c r="A96" s="9">
        <v>94</v>
      </c>
      <c r="B96" s="4" t="s">
        <v>74</v>
      </c>
      <c r="C96" s="4" t="s">
        <v>102</v>
      </c>
      <c r="D96" s="4" t="s">
        <v>325</v>
      </c>
      <c r="H96" s="8" t="s">
        <v>164</v>
      </c>
      <c r="I96" s="7">
        <f t="shared" si="2"/>
        <v>10</v>
      </c>
      <c r="J96" s="7" t="b">
        <f t="shared" si="3"/>
        <v>1</v>
      </c>
      <c r="K96" s="4" t="s">
        <v>160</v>
      </c>
      <c r="L96" s="4" t="s">
        <v>297</v>
      </c>
    </row>
    <row r="97" spans="1:12" x14ac:dyDescent="0.25">
      <c r="A97" s="9">
        <v>95</v>
      </c>
      <c r="B97" s="4" t="s">
        <v>212</v>
      </c>
      <c r="C97" s="4" t="s">
        <v>326</v>
      </c>
      <c r="D97" s="4" t="s">
        <v>51</v>
      </c>
      <c r="H97" s="8" t="s">
        <v>71</v>
      </c>
      <c r="I97" s="7">
        <f t="shared" si="2"/>
        <v>10</v>
      </c>
      <c r="J97" s="7" t="b">
        <f t="shared" si="3"/>
        <v>1</v>
      </c>
      <c r="K97" s="4" t="s">
        <v>253</v>
      </c>
      <c r="L97" s="4" t="s">
        <v>132</v>
      </c>
    </row>
    <row r="98" spans="1:12" x14ac:dyDescent="0.25">
      <c r="A98" s="9">
        <v>96</v>
      </c>
      <c r="B98" s="4" t="s">
        <v>79</v>
      </c>
      <c r="C98" s="4" t="s">
        <v>205</v>
      </c>
      <c r="D98" s="4" t="s">
        <v>327</v>
      </c>
      <c r="H98" s="8" t="s">
        <v>190</v>
      </c>
      <c r="I98" s="7">
        <f t="shared" si="2"/>
        <v>10</v>
      </c>
      <c r="J98" s="7" t="b">
        <f t="shared" si="3"/>
        <v>1</v>
      </c>
      <c r="K98" s="4" t="s">
        <v>312</v>
      </c>
      <c r="L98" s="4" t="s">
        <v>80</v>
      </c>
    </row>
    <row r="99" spans="1:12" x14ac:dyDescent="0.25">
      <c r="A99" s="9">
        <v>97</v>
      </c>
      <c r="B99" s="4" t="s">
        <v>207</v>
      </c>
      <c r="C99" s="4" t="s">
        <v>70</v>
      </c>
      <c r="D99" s="4" t="s">
        <v>328</v>
      </c>
      <c r="H99" s="8" t="s">
        <v>226</v>
      </c>
      <c r="I99" s="7">
        <f t="shared" si="2"/>
        <v>10</v>
      </c>
      <c r="J99" s="7" t="b">
        <f t="shared" si="3"/>
        <v>1</v>
      </c>
      <c r="K99" s="4" t="s">
        <v>41</v>
      </c>
      <c r="L99" s="4" t="s">
        <v>199</v>
      </c>
    </row>
    <row r="100" spans="1:12" x14ac:dyDescent="0.25">
      <c r="A100" s="9">
        <v>98</v>
      </c>
      <c r="B100" s="4" t="s">
        <v>152</v>
      </c>
      <c r="C100" s="4" t="s">
        <v>289</v>
      </c>
      <c r="D100" s="4" t="s">
        <v>43</v>
      </c>
      <c r="H100" s="8" t="s">
        <v>251</v>
      </c>
      <c r="I100" s="7">
        <f t="shared" si="2"/>
        <v>10</v>
      </c>
      <c r="J100" s="7" t="b">
        <f t="shared" si="3"/>
        <v>1</v>
      </c>
      <c r="K100" s="4" t="s">
        <v>67</v>
      </c>
      <c r="L100" s="4" t="s">
        <v>276</v>
      </c>
    </row>
    <row r="101" spans="1:12" x14ac:dyDescent="0.25">
      <c r="A101" s="9">
        <v>99</v>
      </c>
      <c r="B101" s="4" t="s">
        <v>223</v>
      </c>
      <c r="C101" s="4" t="s">
        <v>307</v>
      </c>
      <c r="D101" s="4" t="s">
        <v>311</v>
      </c>
      <c r="H101" s="8" t="s">
        <v>88</v>
      </c>
      <c r="I101" s="7">
        <f t="shared" si="2"/>
        <v>10</v>
      </c>
      <c r="J101" s="7" t="b">
        <f t="shared" si="3"/>
        <v>1</v>
      </c>
      <c r="K101" s="4" t="s">
        <v>247</v>
      </c>
      <c r="L101" s="4" t="s">
        <v>149</v>
      </c>
    </row>
    <row r="102" spans="1:12" x14ac:dyDescent="0.25">
      <c r="H102" s="8" t="s">
        <v>105</v>
      </c>
      <c r="I102" s="7">
        <f t="shared" si="2"/>
        <v>7.1</v>
      </c>
      <c r="J102" s="7" t="b">
        <f t="shared" si="3"/>
        <v>1</v>
      </c>
      <c r="L102" s="4"/>
    </row>
    <row r="103" spans="1:12" x14ac:dyDescent="0.25">
      <c r="H103" s="8" t="s">
        <v>120</v>
      </c>
      <c r="I103" s="7">
        <f t="shared" si="2"/>
        <v>7.1</v>
      </c>
      <c r="J103" s="7" t="b">
        <f t="shared" si="3"/>
        <v>1</v>
      </c>
    </row>
    <row r="104" spans="1:12" x14ac:dyDescent="0.25">
      <c r="H104" s="8" t="s">
        <v>116</v>
      </c>
      <c r="I104" s="7">
        <f t="shared" si="2"/>
        <v>7.1</v>
      </c>
      <c r="J104" s="7" t="b">
        <f t="shared" si="3"/>
        <v>1</v>
      </c>
    </row>
    <row r="105" spans="1:12" x14ac:dyDescent="0.25">
      <c r="H105" s="8" t="s">
        <v>75</v>
      </c>
      <c r="I105" s="7">
        <f t="shared" si="2"/>
        <v>7</v>
      </c>
      <c r="J105" s="7" t="b">
        <f t="shared" si="3"/>
        <v>1</v>
      </c>
    </row>
    <row r="106" spans="1:12" x14ac:dyDescent="0.25">
      <c r="H106" s="8" t="s">
        <v>143</v>
      </c>
      <c r="I106" s="7">
        <f t="shared" si="2"/>
        <v>7</v>
      </c>
      <c r="J106" s="7" t="b">
        <f t="shared" si="3"/>
        <v>1</v>
      </c>
    </row>
    <row r="107" spans="1:12" x14ac:dyDescent="0.25">
      <c r="H107" s="8" t="s">
        <v>65</v>
      </c>
      <c r="I107" s="7">
        <f t="shared" si="2"/>
        <v>7</v>
      </c>
      <c r="J107" s="7" t="b">
        <f t="shared" si="3"/>
        <v>1</v>
      </c>
    </row>
    <row r="108" spans="1:12" x14ac:dyDescent="0.25">
      <c r="H108" s="8" t="s">
        <v>198</v>
      </c>
      <c r="I108" s="7">
        <f t="shared" si="2"/>
        <v>7</v>
      </c>
      <c r="J108" s="7" t="b">
        <f t="shared" si="3"/>
        <v>1</v>
      </c>
      <c r="K108" s="4"/>
    </row>
    <row r="109" spans="1:12" x14ac:dyDescent="0.25">
      <c r="H109" s="8" t="s">
        <v>73</v>
      </c>
      <c r="I109" s="7">
        <f t="shared" si="2"/>
        <v>7</v>
      </c>
      <c r="J109" s="7" t="b">
        <f t="shared" si="3"/>
        <v>1</v>
      </c>
      <c r="K109" s="4"/>
    </row>
    <row r="110" spans="1:12" x14ac:dyDescent="0.25">
      <c r="H110" s="8" t="s">
        <v>209</v>
      </c>
      <c r="I110" s="7">
        <f t="shared" si="2"/>
        <v>7</v>
      </c>
      <c r="J110" s="7" t="b">
        <f t="shared" si="3"/>
        <v>1</v>
      </c>
    </row>
    <row r="111" spans="1:12" x14ac:dyDescent="0.25">
      <c r="H111" s="8" t="s">
        <v>239</v>
      </c>
      <c r="I111" s="7">
        <f t="shared" si="2"/>
        <v>7</v>
      </c>
      <c r="J111" s="7" t="b">
        <f t="shared" si="3"/>
        <v>1</v>
      </c>
      <c r="K111" s="4"/>
    </row>
    <row r="112" spans="1:12" x14ac:dyDescent="0.25">
      <c r="H112" s="8" t="s">
        <v>196</v>
      </c>
      <c r="I112" s="7">
        <f t="shared" si="2"/>
        <v>7</v>
      </c>
      <c r="J112" s="7" t="b">
        <f t="shared" si="3"/>
        <v>1</v>
      </c>
    </row>
    <row r="113" spans="8:10" x14ac:dyDescent="0.25">
      <c r="H113" s="8" t="s">
        <v>289</v>
      </c>
      <c r="I113" s="7">
        <f t="shared" si="2"/>
        <v>7</v>
      </c>
      <c r="J113" s="7" t="b">
        <f t="shared" si="3"/>
        <v>1</v>
      </c>
    </row>
    <row r="114" spans="8:10" x14ac:dyDescent="0.25">
      <c r="H114" s="8" t="s">
        <v>81</v>
      </c>
      <c r="I114" s="7">
        <f t="shared" si="2"/>
        <v>7</v>
      </c>
      <c r="J114" s="7" t="b">
        <f t="shared" si="3"/>
        <v>1</v>
      </c>
    </row>
    <row r="115" spans="8:10" x14ac:dyDescent="0.25">
      <c r="H115" s="8" t="s">
        <v>264</v>
      </c>
      <c r="I115" s="7">
        <f t="shared" si="2"/>
        <v>7</v>
      </c>
      <c r="J115" s="7" t="b">
        <f t="shared" si="3"/>
        <v>1</v>
      </c>
    </row>
    <row r="116" spans="8:10" x14ac:dyDescent="0.25">
      <c r="H116" s="8" t="s">
        <v>219</v>
      </c>
      <c r="I116" s="7">
        <f t="shared" si="2"/>
        <v>5.0999999999999996</v>
      </c>
      <c r="J116" s="7" t="b">
        <f t="shared" si="3"/>
        <v>1</v>
      </c>
    </row>
    <row r="117" spans="8:10" x14ac:dyDescent="0.25">
      <c r="H117" s="8" t="s">
        <v>193</v>
      </c>
      <c r="I117" s="7">
        <f t="shared" si="2"/>
        <v>5.0999999999999996</v>
      </c>
      <c r="J117" s="7" t="b">
        <f t="shared" si="3"/>
        <v>1</v>
      </c>
    </row>
    <row r="118" spans="8:10" x14ac:dyDescent="0.25">
      <c r="H118" s="8" t="s">
        <v>161</v>
      </c>
      <c r="I118" s="7">
        <f t="shared" si="2"/>
        <v>5.0999999999999996</v>
      </c>
      <c r="J118" s="7" t="b">
        <f t="shared" si="3"/>
        <v>0</v>
      </c>
    </row>
    <row r="119" spans="8:10" x14ac:dyDescent="0.25">
      <c r="H119" s="8" t="s">
        <v>76</v>
      </c>
      <c r="I119" s="7">
        <f t="shared" si="2"/>
        <v>5.0999999999999996</v>
      </c>
      <c r="J119" s="7" t="b">
        <f t="shared" si="3"/>
        <v>1</v>
      </c>
    </row>
    <row r="120" spans="8:10" x14ac:dyDescent="0.25">
      <c r="H120" s="8" t="s">
        <v>237</v>
      </c>
      <c r="I120" s="7">
        <f t="shared" si="2"/>
        <v>5.0999999999999996</v>
      </c>
      <c r="J120" s="7" t="b">
        <f t="shared" si="3"/>
        <v>1</v>
      </c>
    </row>
    <row r="121" spans="8:10" x14ac:dyDescent="0.25">
      <c r="H121" s="8" t="s">
        <v>47</v>
      </c>
      <c r="I121" s="7">
        <f t="shared" si="2"/>
        <v>5.01</v>
      </c>
      <c r="J121" s="7" t="b">
        <f t="shared" si="3"/>
        <v>0</v>
      </c>
    </row>
    <row r="122" spans="8:10" x14ac:dyDescent="0.25">
      <c r="H122" s="8" t="s">
        <v>39</v>
      </c>
      <c r="I122" s="7">
        <f t="shared" si="2"/>
        <v>5.01</v>
      </c>
      <c r="J122" s="7" t="b">
        <f t="shared" si="3"/>
        <v>0</v>
      </c>
    </row>
    <row r="123" spans="8:10" x14ac:dyDescent="0.25">
      <c r="H123" s="8" t="s">
        <v>139</v>
      </c>
      <c r="I123" s="7">
        <f t="shared" si="2"/>
        <v>5.01</v>
      </c>
      <c r="J123" s="7" t="b">
        <f t="shared" si="3"/>
        <v>0</v>
      </c>
    </row>
    <row r="124" spans="8:10" x14ac:dyDescent="0.25">
      <c r="H124" s="8" t="s">
        <v>326</v>
      </c>
      <c r="I124" s="7">
        <f t="shared" si="2"/>
        <v>5</v>
      </c>
      <c r="J124" s="7" t="b">
        <f t="shared" si="3"/>
        <v>0</v>
      </c>
    </row>
    <row r="125" spans="8:10" x14ac:dyDescent="0.25">
      <c r="H125" s="8" t="s">
        <v>291</v>
      </c>
      <c r="I125" s="7">
        <f t="shared" si="2"/>
        <v>5</v>
      </c>
      <c r="J125" s="7" t="b">
        <f t="shared" si="3"/>
        <v>1</v>
      </c>
    </row>
    <row r="126" spans="8:10" x14ac:dyDescent="0.25">
      <c r="H126" s="8" t="s">
        <v>242</v>
      </c>
      <c r="I126" s="7">
        <f t="shared" si="2"/>
        <v>5</v>
      </c>
      <c r="J126" s="7" t="b">
        <f t="shared" si="3"/>
        <v>0</v>
      </c>
    </row>
    <row r="127" spans="8:10" x14ac:dyDescent="0.25">
      <c r="H127" s="8" t="s">
        <v>307</v>
      </c>
      <c r="I127" s="7">
        <f t="shared" si="2"/>
        <v>5</v>
      </c>
      <c r="J127" s="7" t="b">
        <f t="shared" si="3"/>
        <v>1</v>
      </c>
    </row>
    <row r="128" spans="8:10" x14ac:dyDescent="0.25">
      <c r="H128" s="8" t="s">
        <v>176</v>
      </c>
      <c r="I128" s="7">
        <f t="shared" si="2"/>
        <v>5</v>
      </c>
      <c r="J128" s="7" t="b">
        <f t="shared" si="3"/>
        <v>1</v>
      </c>
    </row>
    <row r="129" spans="8:10" x14ac:dyDescent="0.25">
      <c r="H129" s="8" t="s">
        <v>309</v>
      </c>
      <c r="I129" s="7">
        <f t="shared" si="2"/>
        <v>5</v>
      </c>
      <c r="J129" s="7" t="b">
        <f t="shared" si="3"/>
        <v>0</v>
      </c>
    </row>
    <row r="130" spans="8:10" x14ac:dyDescent="0.25">
      <c r="H130" s="8" t="s">
        <v>319</v>
      </c>
      <c r="I130" s="7">
        <f t="shared" ref="I130:I193" si="4">COUNTIF(B:B,H130)*10+COUNTIF(C:C,H130)*5+COUNTIF(E:E,H130)*2+COUNTIF(D:D,H130)+COUNTIF(F:F,H130)*0.1+COUNTIF(G:G,H130)*0.01</f>
        <v>5</v>
      </c>
      <c r="J130" s="7" t="b">
        <f t="shared" ref="J130:J193" si="5">COUNTIF(K$2:L$101,H130)&gt;0</f>
        <v>0</v>
      </c>
    </row>
    <row r="131" spans="8:10" x14ac:dyDescent="0.25">
      <c r="H131" s="8" t="s">
        <v>188</v>
      </c>
      <c r="I131" s="7">
        <f t="shared" si="4"/>
        <v>5</v>
      </c>
      <c r="J131" s="7" t="b">
        <f t="shared" si="5"/>
        <v>1</v>
      </c>
    </row>
    <row r="132" spans="8:10" x14ac:dyDescent="0.25">
      <c r="H132" s="8" t="s">
        <v>254</v>
      </c>
      <c r="I132" s="7">
        <f t="shared" si="4"/>
        <v>5</v>
      </c>
      <c r="J132" s="7" t="b">
        <f t="shared" si="5"/>
        <v>1</v>
      </c>
    </row>
    <row r="133" spans="8:10" x14ac:dyDescent="0.25">
      <c r="H133" s="8" t="s">
        <v>195</v>
      </c>
      <c r="I133" s="7">
        <f t="shared" si="4"/>
        <v>5</v>
      </c>
      <c r="J133" s="7" t="b">
        <f t="shared" si="5"/>
        <v>1</v>
      </c>
    </row>
    <row r="134" spans="8:10" x14ac:dyDescent="0.25">
      <c r="H134" s="8" t="s">
        <v>304</v>
      </c>
      <c r="I134" s="7">
        <f t="shared" si="4"/>
        <v>5</v>
      </c>
      <c r="J134" s="7" t="b">
        <f t="shared" si="5"/>
        <v>0</v>
      </c>
    </row>
    <row r="135" spans="8:10" x14ac:dyDescent="0.25">
      <c r="H135" s="8" t="s">
        <v>135</v>
      </c>
      <c r="I135" s="7">
        <f t="shared" si="4"/>
        <v>5</v>
      </c>
      <c r="J135" s="7" t="b">
        <f t="shared" si="5"/>
        <v>0</v>
      </c>
    </row>
    <row r="136" spans="8:10" x14ac:dyDescent="0.25">
      <c r="H136" s="8" t="s">
        <v>249</v>
      </c>
      <c r="I136" s="7">
        <f t="shared" si="4"/>
        <v>5</v>
      </c>
      <c r="J136" s="7" t="b">
        <f t="shared" si="5"/>
        <v>1</v>
      </c>
    </row>
    <row r="137" spans="8:10" x14ac:dyDescent="0.25">
      <c r="H137" s="8" t="s">
        <v>293</v>
      </c>
      <c r="I137" s="7">
        <f t="shared" si="4"/>
        <v>5</v>
      </c>
      <c r="J137" s="7" t="b">
        <f t="shared" si="5"/>
        <v>0</v>
      </c>
    </row>
    <row r="138" spans="8:10" x14ac:dyDescent="0.25">
      <c r="H138" s="8" t="s">
        <v>213</v>
      </c>
      <c r="I138" s="7">
        <f t="shared" si="4"/>
        <v>5</v>
      </c>
      <c r="J138" s="7" t="b">
        <f t="shared" si="5"/>
        <v>1</v>
      </c>
    </row>
    <row r="139" spans="8:10" x14ac:dyDescent="0.25">
      <c r="H139" s="8" t="s">
        <v>303</v>
      </c>
      <c r="I139" s="7">
        <f t="shared" si="4"/>
        <v>5</v>
      </c>
      <c r="J139" s="7" t="b">
        <f t="shared" si="5"/>
        <v>0</v>
      </c>
    </row>
    <row r="140" spans="8:10" x14ac:dyDescent="0.25">
      <c r="H140" s="8" t="s">
        <v>274</v>
      </c>
      <c r="I140" s="7">
        <f t="shared" si="4"/>
        <v>5</v>
      </c>
      <c r="J140" s="7" t="b">
        <f t="shared" si="5"/>
        <v>0</v>
      </c>
    </row>
    <row r="141" spans="8:10" x14ac:dyDescent="0.25">
      <c r="H141" s="8" t="s">
        <v>262</v>
      </c>
      <c r="I141" s="7">
        <f t="shared" si="4"/>
        <v>5</v>
      </c>
      <c r="J141" s="7" t="b">
        <f t="shared" si="5"/>
        <v>0</v>
      </c>
    </row>
    <row r="142" spans="8:10" x14ac:dyDescent="0.25">
      <c r="H142" s="8" t="s">
        <v>118</v>
      </c>
      <c r="I142" s="7">
        <f t="shared" si="4"/>
        <v>5</v>
      </c>
      <c r="J142" s="7" t="b">
        <f t="shared" si="5"/>
        <v>0</v>
      </c>
    </row>
    <row r="143" spans="8:10" x14ac:dyDescent="0.25">
      <c r="H143" s="8" t="s">
        <v>257</v>
      </c>
      <c r="I143" s="7">
        <f t="shared" si="4"/>
        <v>5</v>
      </c>
      <c r="J143" s="7" t="b">
        <f t="shared" si="5"/>
        <v>1</v>
      </c>
    </row>
    <row r="144" spans="8:10" x14ac:dyDescent="0.25">
      <c r="H144" s="8" t="s">
        <v>279</v>
      </c>
      <c r="I144" s="7">
        <f t="shared" si="4"/>
        <v>5</v>
      </c>
      <c r="J144" s="7" t="b">
        <f t="shared" si="5"/>
        <v>0</v>
      </c>
    </row>
    <row r="145" spans="8:10" x14ac:dyDescent="0.25">
      <c r="H145" s="8" t="s">
        <v>323</v>
      </c>
      <c r="I145" s="7">
        <f t="shared" si="4"/>
        <v>5</v>
      </c>
      <c r="J145" s="7" t="b">
        <f t="shared" si="5"/>
        <v>0</v>
      </c>
    </row>
    <row r="146" spans="8:10" x14ac:dyDescent="0.25">
      <c r="H146" s="8" t="s">
        <v>56</v>
      </c>
      <c r="I146" s="7">
        <f t="shared" si="4"/>
        <v>5</v>
      </c>
      <c r="J146" s="7" t="b">
        <f t="shared" si="5"/>
        <v>0</v>
      </c>
    </row>
    <row r="147" spans="8:10" x14ac:dyDescent="0.25">
      <c r="H147" s="8" t="s">
        <v>310</v>
      </c>
      <c r="I147" s="7">
        <f t="shared" si="4"/>
        <v>5</v>
      </c>
      <c r="J147" s="7" t="b">
        <f t="shared" si="5"/>
        <v>1</v>
      </c>
    </row>
    <row r="148" spans="8:10" x14ac:dyDescent="0.25">
      <c r="H148" s="8" t="s">
        <v>97</v>
      </c>
      <c r="I148" s="7">
        <f t="shared" si="4"/>
        <v>5</v>
      </c>
      <c r="J148" s="7" t="b">
        <f t="shared" si="5"/>
        <v>0</v>
      </c>
    </row>
    <row r="149" spans="8:10" x14ac:dyDescent="0.25">
      <c r="H149" s="8" t="s">
        <v>292</v>
      </c>
      <c r="I149" s="7">
        <f t="shared" si="4"/>
        <v>5</v>
      </c>
      <c r="J149" s="7" t="b">
        <f t="shared" si="5"/>
        <v>0</v>
      </c>
    </row>
    <row r="150" spans="8:10" x14ac:dyDescent="0.25">
      <c r="H150" s="8" t="s">
        <v>261</v>
      </c>
      <c r="I150" s="7">
        <f t="shared" si="4"/>
        <v>5</v>
      </c>
      <c r="J150" s="7" t="b">
        <f t="shared" si="5"/>
        <v>1</v>
      </c>
    </row>
    <row r="151" spans="8:10" x14ac:dyDescent="0.25">
      <c r="H151" s="8" t="s">
        <v>305</v>
      </c>
      <c r="I151" s="7">
        <f t="shared" si="4"/>
        <v>5</v>
      </c>
      <c r="J151" s="7" t="b">
        <f t="shared" si="5"/>
        <v>0</v>
      </c>
    </row>
    <row r="152" spans="8:10" x14ac:dyDescent="0.25">
      <c r="H152" s="8" t="s">
        <v>317</v>
      </c>
      <c r="I152" s="7">
        <f t="shared" si="4"/>
        <v>5</v>
      </c>
      <c r="J152" s="7" t="b">
        <f t="shared" si="5"/>
        <v>0</v>
      </c>
    </row>
    <row r="153" spans="8:10" x14ac:dyDescent="0.25">
      <c r="H153" s="8" t="s">
        <v>255</v>
      </c>
      <c r="I153" s="7">
        <f t="shared" si="4"/>
        <v>5</v>
      </c>
      <c r="J153" s="7" t="b">
        <f t="shared" si="5"/>
        <v>0</v>
      </c>
    </row>
    <row r="154" spans="8:10" x14ac:dyDescent="0.25">
      <c r="H154" s="8" t="s">
        <v>283</v>
      </c>
      <c r="I154" s="7">
        <f t="shared" si="4"/>
        <v>5</v>
      </c>
      <c r="J154" s="7" t="b">
        <f t="shared" si="5"/>
        <v>0</v>
      </c>
    </row>
    <row r="155" spans="8:10" x14ac:dyDescent="0.25">
      <c r="H155" s="8" t="s">
        <v>270</v>
      </c>
      <c r="I155" s="7">
        <f t="shared" si="4"/>
        <v>5</v>
      </c>
      <c r="J155" s="7" t="b">
        <f t="shared" si="5"/>
        <v>0</v>
      </c>
    </row>
    <row r="156" spans="8:10" x14ac:dyDescent="0.25">
      <c r="H156" s="8" t="s">
        <v>203</v>
      </c>
      <c r="I156" s="7">
        <f t="shared" si="4"/>
        <v>5</v>
      </c>
      <c r="J156" s="7" t="b">
        <f t="shared" si="5"/>
        <v>0</v>
      </c>
    </row>
    <row r="157" spans="8:10" x14ac:dyDescent="0.25">
      <c r="H157" s="8" t="s">
        <v>151</v>
      </c>
      <c r="I157" s="7">
        <f t="shared" si="4"/>
        <v>5</v>
      </c>
      <c r="J157" s="7" t="b">
        <f t="shared" si="5"/>
        <v>1</v>
      </c>
    </row>
    <row r="158" spans="8:10" x14ac:dyDescent="0.25">
      <c r="H158" s="8" t="s">
        <v>171</v>
      </c>
      <c r="I158" s="7">
        <f t="shared" si="4"/>
        <v>5</v>
      </c>
      <c r="J158" s="7" t="b">
        <f t="shared" si="5"/>
        <v>0</v>
      </c>
    </row>
    <row r="159" spans="8:10" x14ac:dyDescent="0.25">
      <c r="H159" s="8" t="s">
        <v>129</v>
      </c>
      <c r="I159" s="7">
        <f t="shared" si="4"/>
        <v>5</v>
      </c>
      <c r="J159" s="7" t="b">
        <f t="shared" si="5"/>
        <v>0</v>
      </c>
    </row>
    <row r="160" spans="8:10" x14ac:dyDescent="0.25">
      <c r="H160" s="8" t="s">
        <v>296</v>
      </c>
      <c r="I160" s="7">
        <f t="shared" si="4"/>
        <v>5</v>
      </c>
      <c r="J160" s="7" t="b">
        <f t="shared" si="5"/>
        <v>0</v>
      </c>
    </row>
    <row r="161" spans="8:10" x14ac:dyDescent="0.25">
      <c r="H161" s="8" t="s">
        <v>318</v>
      </c>
      <c r="I161" s="7">
        <f t="shared" si="4"/>
        <v>5</v>
      </c>
      <c r="J161" s="7" t="b">
        <f t="shared" si="5"/>
        <v>0</v>
      </c>
    </row>
    <row r="162" spans="8:10" x14ac:dyDescent="0.25">
      <c r="H162" s="8" t="s">
        <v>301</v>
      </c>
      <c r="I162" s="7">
        <f t="shared" si="4"/>
        <v>5</v>
      </c>
      <c r="J162" s="7" t="b">
        <f t="shared" si="5"/>
        <v>0</v>
      </c>
    </row>
    <row r="163" spans="8:10" x14ac:dyDescent="0.25">
      <c r="H163" s="8" t="s">
        <v>265</v>
      </c>
      <c r="I163" s="7">
        <f t="shared" si="4"/>
        <v>5</v>
      </c>
      <c r="J163" s="7" t="b">
        <f t="shared" si="5"/>
        <v>0</v>
      </c>
    </row>
    <row r="164" spans="8:10" x14ac:dyDescent="0.25">
      <c r="H164" s="8" t="s">
        <v>49</v>
      </c>
      <c r="I164" s="7">
        <f t="shared" si="4"/>
        <v>3.1</v>
      </c>
      <c r="J164" s="7" t="b">
        <f t="shared" si="5"/>
        <v>1</v>
      </c>
    </row>
    <row r="165" spans="8:10" x14ac:dyDescent="0.25">
      <c r="H165" s="8" t="s">
        <v>113</v>
      </c>
      <c r="I165" s="7">
        <f t="shared" si="4"/>
        <v>3.1</v>
      </c>
      <c r="J165" s="7" t="b">
        <f t="shared" si="5"/>
        <v>1</v>
      </c>
    </row>
    <row r="166" spans="8:10" x14ac:dyDescent="0.25">
      <c r="H166" s="8" t="s">
        <v>174</v>
      </c>
      <c r="I166" s="7">
        <f t="shared" si="4"/>
        <v>3.1</v>
      </c>
      <c r="J166" s="7" t="b">
        <f t="shared" si="5"/>
        <v>1</v>
      </c>
    </row>
    <row r="167" spans="8:10" x14ac:dyDescent="0.25">
      <c r="H167" s="8" t="s">
        <v>186</v>
      </c>
      <c r="I167" s="7">
        <f t="shared" si="4"/>
        <v>3.1</v>
      </c>
      <c r="J167" s="7" t="b">
        <f t="shared" si="5"/>
        <v>1</v>
      </c>
    </row>
    <row r="168" spans="8:10" x14ac:dyDescent="0.25">
      <c r="H168" s="8" t="s">
        <v>222</v>
      </c>
      <c r="I168" s="7">
        <f t="shared" si="4"/>
        <v>3.1</v>
      </c>
      <c r="J168" s="7" t="b">
        <f t="shared" si="5"/>
        <v>1</v>
      </c>
    </row>
    <row r="169" spans="8:10" x14ac:dyDescent="0.25">
      <c r="H169" s="8" t="s">
        <v>124</v>
      </c>
      <c r="I169" s="7">
        <f t="shared" si="4"/>
        <v>3</v>
      </c>
      <c r="J169" s="7" t="b">
        <f t="shared" si="5"/>
        <v>1</v>
      </c>
    </row>
    <row r="170" spans="8:10" x14ac:dyDescent="0.25">
      <c r="H170" s="8" t="s">
        <v>137</v>
      </c>
      <c r="I170" s="7">
        <f t="shared" si="4"/>
        <v>3</v>
      </c>
      <c r="J170" s="7" t="b">
        <f t="shared" si="5"/>
        <v>1</v>
      </c>
    </row>
    <row r="171" spans="8:10" x14ac:dyDescent="0.25">
      <c r="H171" s="8" t="s">
        <v>155</v>
      </c>
      <c r="I171" s="7">
        <f t="shared" si="4"/>
        <v>3</v>
      </c>
      <c r="J171" s="7" t="b">
        <f t="shared" si="5"/>
        <v>1</v>
      </c>
    </row>
    <row r="172" spans="8:10" x14ac:dyDescent="0.25">
      <c r="H172" s="8" t="s">
        <v>180</v>
      </c>
      <c r="I172" s="7">
        <f t="shared" si="4"/>
        <v>3</v>
      </c>
      <c r="J172" s="7" t="b">
        <f t="shared" si="5"/>
        <v>1</v>
      </c>
    </row>
    <row r="173" spans="8:10" x14ac:dyDescent="0.25">
      <c r="H173" s="8" t="s">
        <v>192</v>
      </c>
      <c r="I173" s="7">
        <f t="shared" si="4"/>
        <v>3</v>
      </c>
      <c r="J173" s="7" t="b">
        <f t="shared" si="5"/>
        <v>1</v>
      </c>
    </row>
    <row r="174" spans="8:10" x14ac:dyDescent="0.25">
      <c r="H174" s="8" t="s">
        <v>204</v>
      </c>
      <c r="I174" s="7">
        <f t="shared" si="4"/>
        <v>3</v>
      </c>
      <c r="J174" s="7" t="b">
        <f t="shared" si="5"/>
        <v>1</v>
      </c>
    </row>
    <row r="175" spans="8:10" x14ac:dyDescent="0.25">
      <c r="H175" s="8" t="s">
        <v>218</v>
      </c>
      <c r="I175" s="7">
        <f t="shared" si="4"/>
        <v>3</v>
      </c>
      <c r="J175" s="7" t="b">
        <f t="shared" si="5"/>
        <v>1</v>
      </c>
    </row>
    <row r="176" spans="8:10" x14ac:dyDescent="0.25">
      <c r="H176" s="8" t="s">
        <v>98</v>
      </c>
      <c r="I176" s="7">
        <f t="shared" si="4"/>
        <v>3</v>
      </c>
      <c r="J176" s="7" t="b">
        <f t="shared" si="5"/>
        <v>1</v>
      </c>
    </row>
    <row r="177" spans="8:10" x14ac:dyDescent="0.25">
      <c r="H177" s="8" t="s">
        <v>197</v>
      </c>
      <c r="I177" s="7">
        <f t="shared" si="4"/>
        <v>3</v>
      </c>
      <c r="J177" s="7" t="b">
        <f t="shared" si="5"/>
        <v>1</v>
      </c>
    </row>
    <row r="178" spans="8:10" x14ac:dyDescent="0.25">
      <c r="H178" s="8" t="s">
        <v>256</v>
      </c>
      <c r="I178" s="7">
        <f t="shared" si="4"/>
        <v>3</v>
      </c>
      <c r="J178" s="7" t="b">
        <f t="shared" si="5"/>
        <v>1</v>
      </c>
    </row>
    <row r="179" spans="8:10" x14ac:dyDescent="0.25">
      <c r="H179" s="8" t="s">
        <v>246</v>
      </c>
      <c r="I179" s="7">
        <f t="shared" si="4"/>
        <v>3</v>
      </c>
      <c r="J179" s="7" t="b">
        <f t="shared" si="5"/>
        <v>1</v>
      </c>
    </row>
    <row r="180" spans="8:10" x14ac:dyDescent="0.25">
      <c r="H180" s="8" t="s">
        <v>244</v>
      </c>
      <c r="I180" s="7">
        <f t="shared" si="4"/>
        <v>3</v>
      </c>
      <c r="J180" s="7" t="b">
        <f t="shared" si="5"/>
        <v>1</v>
      </c>
    </row>
    <row r="181" spans="8:10" x14ac:dyDescent="0.25">
      <c r="H181" s="8" t="s">
        <v>235</v>
      </c>
      <c r="I181" s="7">
        <f t="shared" si="4"/>
        <v>3</v>
      </c>
      <c r="J181" s="7" t="b">
        <f t="shared" si="5"/>
        <v>1</v>
      </c>
    </row>
    <row r="182" spans="8:10" x14ac:dyDescent="0.25">
      <c r="H182" s="8" t="s">
        <v>286</v>
      </c>
      <c r="I182" s="7">
        <f t="shared" si="4"/>
        <v>3</v>
      </c>
      <c r="J182" s="7" t="b">
        <f t="shared" si="5"/>
        <v>1</v>
      </c>
    </row>
    <row r="183" spans="8:10" x14ac:dyDescent="0.25">
      <c r="H183" s="8" t="s">
        <v>99</v>
      </c>
      <c r="I183" s="7">
        <f t="shared" si="4"/>
        <v>2.1</v>
      </c>
      <c r="J183" s="7" t="b">
        <f t="shared" si="5"/>
        <v>1</v>
      </c>
    </row>
    <row r="184" spans="8:10" x14ac:dyDescent="0.25">
      <c r="H184" s="8" t="s">
        <v>153</v>
      </c>
      <c r="I184" s="7">
        <f t="shared" si="4"/>
        <v>2.1</v>
      </c>
      <c r="J184" s="7" t="b">
        <f t="shared" si="5"/>
        <v>0</v>
      </c>
    </row>
    <row r="185" spans="8:10" x14ac:dyDescent="0.25">
      <c r="H185" s="8" t="s">
        <v>59</v>
      </c>
      <c r="I185" s="7">
        <f t="shared" si="4"/>
        <v>2.1</v>
      </c>
      <c r="J185" s="7" t="b">
        <f t="shared" si="5"/>
        <v>1</v>
      </c>
    </row>
    <row r="186" spans="8:10" x14ac:dyDescent="0.25">
      <c r="H186" s="8" t="s">
        <v>215</v>
      </c>
      <c r="I186" s="7">
        <f t="shared" si="4"/>
        <v>2.1</v>
      </c>
      <c r="J186" s="7" t="b">
        <f t="shared" si="5"/>
        <v>1</v>
      </c>
    </row>
    <row r="187" spans="8:10" x14ac:dyDescent="0.25">
      <c r="H187" s="8" t="s">
        <v>181</v>
      </c>
      <c r="I187" s="7">
        <f t="shared" si="4"/>
        <v>2.1</v>
      </c>
      <c r="J187" s="7" t="b">
        <f t="shared" si="5"/>
        <v>1</v>
      </c>
    </row>
    <row r="188" spans="8:10" x14ac:dyDescent="0.25">
      <c r="H188" s="8" t="s">
        <v>114</v>
      </c>
      <c r="I188" s="7">
        <f t="shared" si="4"/>
        <v>2.1</v>
      </c>
      <c r="J188" s="7" t="b">
        <f t="shared" si="5"/>
        <v>1</v>
      </c>
    </row>
    <row r="189" spans="8:10" x14ac:dyDescent="0.25">
      <c r="H189" s="8" t="s">
        <v>109</v>
      </c>
      <c r="I189" s="7">
        <f t="shared" si="4"/>
        <v>2.1</v>
      </c>
      <c r="J189" s="7" t="b">
        <f t="shared" si="5"/>
        <v>1</v>
      </c>
    </row>
    <row r="190" spans="8:10" x14ac:dyDescent="0.25">
      <c r="H190" s="8" t="s">
        <v>41</v>
      </c>
      <c r="I190" s="7">
        <f t="shared" si="4"/>
        <v>2</v>
      </c>
      <c r="J190" s="7" t="b">
        <f t="shared" si="5"/>
        <v>1</v>
      </c>
    </row>
    <row r="191" spans="8:10" x14ac:dyDescent="0.25">
      <c r="H191" s="8" t="s">
        <v>58</v>
      </c>
      <c r="I191" s="7">
        <f t="shared" si="4"/>
        <v>2</v>
      </c>
      <c r="J191" s="7" t="b">
        <f t="shared" si="5"/>
        <v>1</v>
      </c>
    </row>
    <row r="192" spans="8:10" x14ac:dyDescent="0.25">
      <c r="H192" s="8" t="s">
        <v>67</v>
      </c>
      <c r="I192" s="7">
        <f t="shared" si="4"/>
        <v>2</v>
      </c>
      <c r="J192" s="7" t="b">
        <f t="shared" si="5"/>
        <v>1</v>
      </c>
    </row>
    <row r="193" spans="8:10" x14ac:dyDescent="0.25">
      <c r="H193" s="8" t="s">
        <v>83</v>
      </c>
      <c r="I193" s="7">
        <f t="shared" si="4"/>
        <v>2</v>
      </c>
      <c r="J193" s="7" t="b">
        <f t="shared" si="5"/>
        <v>1</v>
      </c>
    </row>
    <row r="194" spans="8:10" x14ac:dyDescent="0.25">
      <c r="H194" s="8" t="s">
        <v>91</v>
      </c>
      <c r="I194" s="7">
        <f t="shared" ref="I194:I257" si="6">COUNTIF(B:B,H194)*10+COUNTIF(C:C,H194)*5+COUNTIF(E:E,H194)*2+COUNTIF(D:D,H194)+COUNTIF(F:F,H194)*0.1+COUNTIF(G:G,H194)*0.01</f>
        <v>2</v>
      </c>
      <c r="J194" s="7" t="b">
        <f t="shared" ref="J194:J257" si="7">COUNTIF(K$2:L$101,H194)&gt;0</f>
        <v>0</v>
      </c>
    </row>
    <row r="195" spans="8:10" x14ac:dyDescent="0.25">
      <c r="H195" s="8" t="s">
        <v>131</v>
      </c>
      <c r="I195" s="7">
        <f t="shared" si="6"/>
        <v>2</v>
      </c>
      <c r="J195" s="7" t="b">
        <f t="shared" si="7"/>
        <v>1</v>
      </c>
    </row>
    <row r="196" spans="8:10" x14ac:dyDescent="0.25">
      <c r="H196" s="8" t="s">
        <v>149</v>
      </c>
      <c r="I196" s="7">
        <f t="shared" si="6"/>
        <v>2</v>
      </c>
      <c r="J196" s="7" t="b">
        <f t="shared" si="7"/>
        <v>1</v>
      </c>
    </row>
    <row r="197" spans="8:10" x14ac:dyDescent="0.25">
      <c r="H197" s="8" t="s">
        <v>160</v>
      </c>
      <c r="I197" s="7">
        <f t="shared" si="6"/>
        <v>2</v>
      </c>
      <c r="J197" s="7" t="b">
        <f t="shared" si="7"/>
        <v>1</v>
      </c>
    </row>
    <row r="198" spans="8:10" x14ac:dyDescent="0.25">
      <c r="H198" s="8" t="s">
        <v>173</v>
      </c>
      <c r="I198" s="7">
        <f t="shared" si="6"/>
        <v>2</v>
      </c>
      <c r="J198" s="7" t="b">
        <f t="shared" si="7"/>
        <v>1</v>
      </c>
    </row>
    <row r="199" spans="8:10" x14ac:dyDescent="0.25">
      <c r="H199" s="8" t="s">
        <v>185</v>
      </c>
      <c r="I199" s="7">
        <f t="shared" si="6"/>
        <v>2</v>
      </c>
      <c r="J199" s="7" t="b">
        <f t="shared" si="7"/>
        <v>1</v>
      </c>
    </row>
    <row r="200" spans="8:10" x14ac:dyDescent="0.25">
      <c r="H200" s="8" t="s">
        <v>224</v>
      </c>
      <c r="I200" s="7">
        <f t="shared" si="6"/>
        <v>2</v>
      </c>
      <c r="J200" s="7" t="b">
        <f t="shared" si="7"/>
        <v>1</v>
      </c>
    </row>
    <row r="201" spans="8:10" x14ac:dyDescent="0.25">
      <c r="H201" s="8" t="s">
        <v>228</v>
      </c>
      <c r="I201" s="7">
        <f t="shared" si="6"/>
        <v>2</v>
      </c>
      <c r="J201" s="7" t="b">
        <f t="shared" si="7"/>
        <v>1</v>
      </c>
    </row>
    <row r="202" spans="8:10" x14ac:dyDescent="0.25">
      <c r="H202" s="8" t="s">
        <v>230</v>
      </c>
      <c r="I202" s="7">
        <f t="shared" si="6"/>
        <v>2</v>
      </c>
      <c r="J202" s="7" t="b">
        <f t="shared" si="7"/>
        <v>1</v>
      </c>
    </row>
    <row r="203" spans="8:10" x14ac:dyDescent="0.25">
      <c r="H203" s="8" t="s">
        <v>236</v>
      </c>
      <c r="I203" s="7">
        <f t="shared" si="6"/>
        <v>2</v>
      </c>
      <c r="J203" s="7" t="b">
        <f t="shared" si="7"/>
        <v>1</v>
      </c>
    </row>
    <row r="204" spans="8:10" x14ac:dyDescent="0.25">
      <c r="H204" s="8" t="s">
        <v>243</v>
      </c>
      <c r="I204" s="7">
        <f t="shared" si="6"/>
        <v>2</v>
      </c>
      <c r="J204" s="7" t="b">
        <f t="shared" si="7"/>
        <v>1</v>
      </c>
    </row>
    <row r="205" spans="8:10" x14ac:dyDescent="0.25">
      <c r="H205" s="8" t="s">
        <v>247</v>
      </c>
      <c r="I205" s="7">
        <f t="shared" si="6"/>
        <v>2</v>
      </c>
      <c r="J205" s="7" t="b">
        <f t="shared" si="7"/>
        <v>1</v>
      </c>
    </row>
    <row r="206" spans="8:10" x14ac:dyDescent="0.25">
      <c r="H206" s="8" t="s">
        <v>253</v>
      </c>
      <c r="I206" s="7">
        <f t="shared" si="6"/>
        <v>2</v>
      </c>
      <c r="J206" s="7" t="b">
        <f t="shared" si="7"/>
        <v>1</v>
      </c>
    </row>
    <row r="207" spans="8:10" x14ac:dyDescent="0.25">
      <c r="H207" s="8" t="s">
        <v>250</v>
      </c>
      <c r="I207" s="7">
        <f t="shared" si="6"/>
        <v>2</v>
      </c>
      <c r="J207" s="7" t="b">
        <f t="shared" si="7"/>
        <v>1</v>
      </c>
    </row>
    <row r="208" spans="8:10" x14ac:dyDescent="0.25">
      <c r="H208" s="8" t="s">
        <v>266</v>
      </c>
      <c r="I208" s="7">
        <f t="shared" si="6"/>
        <v>2</v>
      </c>
      <c r="J208" s="7" t="b">
        <f t="shared" si="7"/>
        <v>1</v>
      </c>
    </row>
    <row r="209" spans="8:10" x14ac:dyDescent="0.25">
      <c r="H209" s="8" t="s">
        <v>267</v>
      </c>
      <c r="I209" s="7">
        <f t="shared" si="6"/>
        <v>2</v>
      </c>
      <c r="J209" s="7" t="b">
        <f t="shared" si="7"/>
        <v>1</v>
      </c>
    </row>
    <row r="210" spans="8:10" x14ac:dyDescent="0.25">
      <c r="H210" s="8" t="s">
        <v>271</v>
      </c>
      <c r="I210" s="7">
        <f t="shared" si="6"/>
        <v>2</v>
      </c>
      <c r="J210" s="7" t="b">
        <f t="shared" si="7"/>
        <v>1</v>
      </c>
    </row>
    <row r="211" spans="8:10" x14ac:dyDescent="0.25">
      <c r="H211" s="8" t="s">
        <v>276</v>
      </c>
      <c r="I211" s="7">
        <f t="shared" si="6"/>
        <v>2</v>
      </c>
      <c r="J211" s="7" t="b">
        <f t="shared" si="7"/>
        <v>1</v>
      </c>
    </row>
    <row r="212" spans="8:10" x14ac:dyDescent="0.25">
      <c r="H212" s="8" t="s">
        <v>281</v>
      </c>
      <c r="I212" s="7">
        <f t="shared" si="6"/>
        <v>2</v>
      </c>
      <c r="J212" s="7" t="b">
        <f t="shared" si="7"/>
        <v>1</v>
      </c>
    </row>
    <row r="213" spans="8:10" x14ac:dyDescent="0.25">
      <c r="H213" s="8" t="s">
        <v>285</v>
      </c>
      <c r="I213" s="7">
        <f t="shared" si="6"/>
        <v>2</v>
      </c>
      <c r="J213" s="7" t="b">
        <f t="shared" si="7"/>
        <v>1</v>
      </c>
    </row>
    <row r="214" spans="8:10" x14ac:dyDescent="0.25">
      <c r="H214" s="8" t="s">
        <v>297</v>
      </c>
      <c r="I214" s="7">
        <f t="shared" si="6"/>
        <v>2</v>
      </c>
      <c r="J214" s="7" t="b">
        <f t="shared" si="7"/>
        <v>1</v>
      </c>
    </row>
    <row r="215" spans="8:10" x14ac:dyDescent="0.25">
      <c r="H215" s="8" t="s">
        <v>199</v>
      </c>
      <c r="I215" s="7">
        <f t="shared" si="6"/>
        <v>1.1000000000000001</v>
      </c>
      <c r="J215" s="7" t="b">
        <f t="shared" si="7"/>
        <v>1</v>
      </c>
    </row>
    <row r="216" spans="8:10" x14ac:dyDescent="0.25">
      <c r="H216" s="8" t="s">
        <v>48</v>
      </c>
      <c r="I216" s="7">
        <f t="shared" si="6"/>
        <v>1.01</v>
      </c>
      <c r="J216" s="7" t="b">
        <f t="shared" si="7"/>
        <v>0</v>
      </c>
    </row>
    <row r="217" spans="8:10" x14ac:dyDescent="0.25">
      <c r="H217" s="8" t="s">
        <v>60</v>
      </c>
      <c r="I217" s="7">
        <f t="shared" si="6"/>
        <v>1.01</v>
      </c>
      <c r="J217" s="7" t="b">
        <f t="shared" si="7"/>
        <v>1</v>
      </c>
    </row>
    <row r="218" spans="8:10" x14ac:dyDescent="0.25">
      <c r="H218" s="8" t="s">
        <v>43</v>
      </c>
      <c r="I218" s="7">
        <f t="shared" si="6"/>
        <v>1.01</v>
      </c>
      <c r="J218" s="7" t="b">
        <f t="shared" si="7"/>
        <v>0</v>
      </c>
    </row>
    <row r="219" spans="8:10" x14ac:dyDescent="0.25">
      <c r="H219" s="8" t="s">
        <v>142</v>
      </c>
      <c r="I219" s="7">
        <f t="shared" si="6"/>
        <v>1.01</v>
      </c>
      <c r="J219" s="7" t="b">
        <f t="shared" si="7"/>
        <v>0</v>
      </c>
    </row>
    <row r="220" spans="8:10" x14ac:dyDescent="0.25">
      <c r="H220" s="8" t="s">
        <v>51</v>
      </c>
      <c r="I220" s="7">
        <f t="shared" si="6"/>
        <v>1.01</v>
      </c>
      <c r="J220" s="7" t="b">
        <f t="shared" si="7"/>
        <v>0</v>
      </c>
    </row>
    <row r="221" spans="8:10" x14ac:dyDescent="0.25">
      <c r="H221" s="8" t="s">
        <v>130</v>
      </c>
      <c r="I221" s="7">
        <f t="shared" si="6"/>
        <v>1</v>
      </c>
      <c r="J221" s="7" t="b">
        <f t="shared" si="7"/>
        <v>0</v>
      </c>
    </row>
    <row r="222" spans="8:10" x14ac:dyDescent="0.25">
      <c r="H222" s="8" t="s">
        <v>110</v>
      </c>
      <c r="I222" s="7">
        <f t="shared" si="6"/>
        <v>1</v>
      </c>
      <c r="J222" s="7" t="b">
        <f t="shared" si="7"/>
        <v>1</v>
      </c>
    </row>
    <row r="223" spans="8:10" x14ac:dyDescent="0.25">
      <c r="H223" s="8" t="s">
        <v>290</v>
      </c>
      <c r="I223" s="7">
        <f t="shared" si="6"/>
        <v>1</v>
      </c>
      <c r="J223" s="7" t="b">
        <f t="shared" si="7"/>
        <v>0</v>
      </c>
    </row>
    <row r="224" spans="8:10" x14ac:dyDescent="0.25">
      <c r="H224" s="8" t="s">
        <v>217</v>
      </c>
      <c r="I224" s="7">
        <f t="shared" si="6"/>
        <v>1</v>
      </c>
      <c r="J224" s="7" t="b">
        <f t="shared" si="7"/>
        <v>0</v>
      </c>
    </row>
    <row r="225" spans="8:10" x14ac:dyDescent="0.25">
      <c r="H225" s="8" t="s">
        <v>252</v>
      </c>
      <c r="I225" s="7">
        <f t="shared" si="6"/>
        <v>1</v>
      </c>
      <c r="J225" s="7" t="b">
        <f t="shared" si="7"/>
        <v>0</v>
      </c>
    </row>
    <row r="226" spans="8:10" x14ac:dyDescent="0.25">
      <c r="H226" s="4" t="s">
        <v>311</v>
      </c>
      <c r="I226" s="7">
        <f t="shared" si="6"/>
        <v>1</v>
      </c>
      <c r="J226" s="7" t="b">
        <f t="shared" si="7"/>
        <v>1</v>
      </c>
    </row>
    <row r="227" spans="8:10" x14ac:dyDescent="0.25">
      <c r="H227" s="8" t="s">
        <v>302</v>
      </c>
      <c r="I227" s="7">
        <f t="shared" si="6"/>
        <v>1</v>
      </c>
      <c r="J227" s="7" t="b">
        <f t="shared" si="7"/>
        <v>0</v>
      </c>
    </row>
    <row r="228" spans="8:10" x14ac:dyDescent="0.25">
      <c r="H228" s="8" t="s">
        <v>294</v>
      </c>
      <c r="I228" s="7">
        <f t="shared" si="6"/>
        <v>1</v>
      </c>
      <c r="J228" s="7" t="b">
        <f t="shared" si="7"/>
        <v>0</v>
      </c>
    </row>
    <row r="229" spans="8:10" x14ac:dyDescent="0.25">
      <c r="H229" s="8" t="s">
        <v>280</v>
      </c>
      <c r="I229" s="7">
        <f t="shared" si="6"/>
        <v>1</v>
      </c>
      <c r="J229" s="7" t="b">
        <f t="shared" si="7"/>
        <v>0</v>
      </c>
    </row>
    <row r="230" spans="8:10" x14ac:dyDescent="0.25">
      <c r="H230" s="8" t="s">
        <v>54</v>
      </c>
      <c r="I230" s="7">
        <f t="shared" si="6"/>
        <v>1</v>
      </c>
      <c r="J230" s="7" t="b">
        <f t="shared" si="7"/>
        <v>0</v>
      </c>
    </row>
    <row r="231" spans="8:10" x14ac:dyDescent="0.25">
      <c r="H231" s="8" t="s">
        <v>227</v>
      </c>
      <c r="I231" s="7">
        <f t="shared" si="6"/>
        <v>1</v>
      </c>
      <c r="J231" s="7" t="b">
        <f t="shared" si="7"/>
        <v>0</v>
      </c>
    </row>
    <row r="232" spans="8:10" x14ac:dyDescent="0.25">
      <c r="H232" s="8" t="s">
        <v>324</v>
      </c>
      <c r="I232" s="7">
        <f t="shared" si="6"/>
        <v>1</v>
      </c>
      <c r="J232" s="7" t="b">
        <f t="shared" si="7"/>
        <v>0</v>
      </c>
    </row>
    <row r="233" spans="8:10" x14ac:dyDescent="0.25">
      <c r="H233" s="8" t="s">
        <v>275</v>
      </c>
      <c r="I233" s="7">
        <f t="shared" si="6"/>
        <v>1</v>
      </c>
      <c r="J233" s="7" t="b">
        <f t="shared" si="7"/>
        <v>0</v>
      </c>
    </row>
    <row r="234" spans="8:10" x14ac:dyDescent="0.25">
      <c r="H234" s="8" t="s">
        <v>313</v>
      </c>
      <c r="I234" s="7">
        <f t="shared" si="6"/>
        <v>1</v>
      </c>
      <c r="J234" s="7" t="b">
        <f t="shared" si="7"/>
        <v>1</v>
      </c>
    </row>
    <row r="235" spans="8:10" x14ac:dyDescent="0.25">
      <c r="H235" s="8" t="s">
        <v>221</v>
      </c>
      <c r="I235" s="7">
        <f t="shared" si="6"/>
        <v>1</v>
      </c>
      <c r="J235" s="7" t="b">
        <f t="shared" si="7"/>
        <v>1</v>
      </c>
    </row>
    <row r="236" spans="8:10" x14ac:dyDescent="0.25">
      <c r="H236" s="8" t="s">
        <v>288</v>
      </c>
      <c r="I236" s="7">
        <f t="shared" si="6"/>
        <v>1</v>
      </c>
      <c r="J236" s="7" t="b">
        <f t="shared" si="7"/>
        <v>0</v>
      </c>
    </row>
    <row r="237" spans="8:10" x14ac:dyDescent="0.25">
      <c r="H237" s="8" t="s">
        <v>136</v>
      </c>
      <c r="I237" s="7">
        <f t="shared" si="6"/>
        <v>1</v>
      </c>
      <c r="J237" s="7" t="b">
        <f t="shared" si="7"/>
        <v>0</v>
      </c>
    </row>
    <row r="238" spans="8:10" x14ac:dyDescent="0.25">
      <c r="H238" s="8" t="s">
        <v>232</v>
      </c>
      <c r="I238" s="7">
        <f t="shared" si="6"/>
        <v>1</v>
      </c>
      <c r="J238" s="7" t="b">
        <f t="shared" si="7"/>
        <v>1</v>
      </c>
    </row>
    <row r="239" spans="8:10" x14ac:dyDescent="0.25">
      <c r="H239" s="8" t="s">
        <v>320</v>
      </c>
      <c r="I239" s="7">
        <f t="shared" si="6"/>
        <v>1</v>
      </c>
      <c r="J239" s="7" t="b">
        <f t="shared" si="7"/>
        <v>0</v>
      </c>
    </row>
    <row r="240" spans="8:10" x14ac:dyDescent="0.25">
      <c r="H240" s="8" t="s">
        <v>314</v>
      </c>
      <c r="I240" s="7">
        <f t="shared" si="6"/>
        <v>1</v>
      </c>
      <c r="J240" s="7" t="b">
        <f t="shared" si="7"/>
        <v>0</v>
      </c>
    </row>
    <row r="241" spans="8:10" x14ac:dyDescent="0.25">
      <c r="H241" s="8" t="s">
        <v>325</v>
      </c>
      <c r="I241" s="7">
        <f t="shared" si="6"/>
        <v>1</v>
      </c>
      <c r="J241" s="7" t="b">
        <f t="shared" si="7"/>
        <v>0</v>
      </c>
    </row>
    <row r="242" spans="8:10" x14ac:dyDescent="0.25">
      <c r="H242" s="8" t="s">
        <v>258</v>
      </c>
      <c r="I242" s="7">
        <f t="shared" si="6"/>
        <v>1</v>
      </c>
      <c r="J242" s="7" t="b">
        <f t="shared" si="7"/>
        <v>1</v>
      </c>
    </row>
    <row r="243" spans="8:10" x14ac:dyDescent="0.25">
      <c r="H243" s="8" t="s">
        <v>66</v>
      </c>
      <c r="I243" s="7">
        <f t="shared" si="6"/>
        <v>1</v>
      </c>
      <c r="J243" s="7" t="b">
        <f t="shared" si="7"/>
        <v>1</v>
      </c>
    </row>
    <row r="244" spans="8:10" x14ac:dyDescent="0.25">
      <c r="H244" s="8" t="s">
        <v>273</v>
      </c>
      <c r="I244" s="7">
        <f t="shared" si="6"/>
        <v>1</v>
      </c>
      <c r="J244" s="7" t="b">
        <f t="shared" si="7"/>
        <v>0</v>
      </c>
    </row>
    <row r="245" spans="8:10" x14ac:dyDescent="0.25">
      <c r="H245" s="8" t="s">
        <v>306</v>
      </c>
      <c r="I245" s="7">
        <f t="shared" si="6"/>
        <v>1</v>
      </c>
      <c r="J245" s="7" t="b">
        <f t="shared" si="7"/>
        <v>0</v>
      </c>
    </row>
    <row r="246" spans="8:10" x14ac:dyDescent="0.25">
      <c r="H246" s="8" t="s">
        <v>214</v>
      </c>
      <c r="I246" s="7">
        <f t="shared" si="6"/>
        <v>1</v>
      </c>
      <c r="J246" s="7" t="b">
        <f t="shared" si="7"/>
        <v>0</v>
      </c>
    </row>
    <row r="247" spans="8:10" x14ac:dyDescent="0.25">
      <c r="H247" s="8" t="s">
        <v>263</v>
      </c>
      <c r="I247" s="7">
        <f t="shared" si="6"/>
        <v>1</v>
      </c>
      <c r="J247" s="7" t="b">
        <f t="shared" si="7"/>
        <v>0</v>
      </c>
    </row>
    <row r="248" spans="8:10" x14ac:dyDescent="0.25">
      <c r="H248" s="8" t="s">
        <v>103</v>
      </c>
      <c r="I248" s="7">
        <f t="shared" si="6"/>
        <v>1</v>
      </c>
      <c r="J248" s="7" t="b">
        <f t="shared" si="7"/>
        <v>1</v>
      </c>
    </row>
    <row r="249" spans="8:10" x14ac:dyDescent="0.25">
      <c r="H249" s="8" t="s">
        <v>321</v>
      </c>
      <c r="I249" s="7">
        <f t="shared" si="6"/>
        <v>1</v>
      </c>
      <c r="J249" s="7" t="b">
        <f t="shared" si="7"/>
        <v>0</v>
      </c>
    </row>
    <row r="250" spans="8:10" x14ac:dyDescent="0.25">
      <c r="H250" s="8" t="s">
        <v>327</v>
      </c>
      <c r="I250" s="7">
        <f t="shared" si="6"/>
        <v>1</v>
      </c>
      <c r="J250" s="7" t="b">
        <f t="shared" si="7"/>
        <v>0</v>
      </c>
    </row>
    <row r="251" spans="8:10" x14ac:dyDescent="0.25">
      <c r="H251" s="8" t="s">
        <v>241</v>
      </c>
      <c r="I251" s="7">
        <f t="shared" si="6"/>
        <v>1</v>
      </c>
      <c r="J251" s="7" t="b">
        <f t="shared" si="7"/>
        <v>1</v>
      </c>
    </row>
    <row r="252" spans="8:10" x14ac:dyDescent="0.25">
      <c r="H252" s="8" t="s">
        <v>308</v>
      </c>
      <c r="I252" s="7">
        <f t="shared" si="6"/>
        <v>1</v>
      </c>
      <c r="J252" s="7" t="b">
        <f t="shared" si="7"/>
        <v>0</v>
      </c>
    </row>
    <row r="253" spans="8:10" x14ac:dyDescent="0.25">
      <c r="H253" s="8" t="s">
        <v>328</v>
      </c>
      <c r="I253" s="7">
        <f t="shared" si="6"/>
        <v>1</v>
      </c>
      <c r="J253" s="7" t="b">
        <f t="shared" si="7"/>
        <v>0</v>
      </c>
    </row>
    <row r="254" spans="8:10" x14ac:dyDescent="0.25">
      <c r="H254" s="8" t="s">
        <v>179</v>
      </c>
      <c r="I254" s="7">
        <f t="shared" si="6"/>
        <v>1</v>
      </c>
      <c r="J254" s="7" t="b">
        <f t="shared" si="7"/>
        <v>0</v>
      </c>
    </row>
    <row r="255" spans="8:10" x14ac:dyDescent="0.25">
      <c r="H255" s="8" t="s">
        <v>191</v>
      </c>
      <c r="I255" s="7">
        <f t="shared" si="6"/>
        <v>1</v>
      </c>
      <c r="J255" s="7" t="b">
        <f t="shared" si="7"/>
        <v>0</v>
      </c>
    </row>
    <row r="256" spans="8:10" x14ac:dyDescent="0.25">
      <c r="H256" s="8" t="s">
        <v>315</v>
      </c>
      <c r="I256" s="7">
        <f t="shared" si="6"/>
        <v>1</v>
      </c>
      <c r="J256" s="7" t="b">
        <f t="shared" si="7"/>
        <v>0</v>
      </c>
    </row>
    <row r="257" spans="8:10" x14ac:dyDescent="0.25">
      <c r="H257" s="8" t="s">
        <v>284</v>
      </c>
      <c r="I257" s="7">
        <f t="shared" si="6"/>
        <v>1</v>
      </c>
      <c r="J257" s="7" t="b">
        <f t="shared" si="7"/>
        <v>0</v>
      </c>
    </row>
    <row r="258" spans="8:10" x14ac:dyDescent="0.25">
      <c r="H258" s="8" t="s">
        <v>166</v>
      </c>
      <c r="I258" s="7">
        <f t="shared" ref="I258:I291" si="8">COUNTIF(B:B,H258)*10+COUNTIF(C:C,H258)*5+COUNTIF(E:E,H258)*2+COUNTIF(D:D,H258)+COUNTIF(F:F,H258)*0.1+COUNTIF(G:G,H258)*0.01</f>
        <v>1</v>
      </c>
      <c r="J258" s="7" t="b">
        <f t="shared" ref="J258:J291" si="9">COUNTIF(K$2:L$101,H258)&gt;0</f>
        <v>0</v>
      </c>
    </row>
    <row r="259" spans="8:10" x14ac:dyDescent="0.25">
      <c r="H259" s="8" t="s">
        <v>322</v>
      </c>
      <c r="I259" s="7">
        <f t="shared" si="8"/>
        <v>1</v>
      </c>
      <c r="J259" s="7" t="b">
        <f t="shared" si="9"/>
        <v>0</v>
      </c>
    </row>
    <row r="260" spans="8:10" x14ac:dyDescent="0.25">
      <c r="H260" s="8" t="s">
        <v>225</v>
      </c>
      <c r="I260" s="7">
        <f t="shared" si="8"/>
        <v>0.1</v>
      </c>
      <c r="J260" s="7" t="b">
        <f t="shared" si="9"/>
        <v>0</v>
      </c>
    </row>
    <row r="261" spans="8:10" x14ac:dyDescent="0.25">
      <c r="H261" s="8" t="s">
        <v>144</v>
      </c>
      <c r="I261" s="7">
        <f t="shared" si="8"/>
        <v>0.1</v>
      </c>
      <c r="J261" s="7" t="b">
        <f t="shared" si="9"/>
        <v>0</v>
      </c>
    </row>
    <row r="262" spans="8:10" x14ac:dyDescent="0.25">
      <c r="H262" s="4" t="s">
        <v>42</v>
      </c>
      <c r="I262" s="7">
        <f t="shared" si="8"/>
        <v>0.1</v>
      </c>
      <c r="J262" s="7" t="b">
        <f t="shared" si="9"/>
        <v>0</v>
      </c>
    </row>
    <row r="263" spans="8:10" x14ac:dyDescent="0.25">
      <c r="H263" s="8" t="s">
        <v>84</v>
      </c>
      <c r="I263" s="7">
        <f t="shared" si="8"/>
        <v>0.1</v>
      </c>
      <c r="J263" s="7" t="b">
        <f t="shared" si="9"/>
        <v>1</v>
      </c>
    </row>
    <row r="264" spans="8:10" x14ac:dyDescent="0.25">
      <c r="H264" s="8" t="s">
        <v>68</v>
      </c>
      <c r="I264" s="7">
        <f t="shared" si="8"/>
        <v>0.1</v>
      </c>
      <c r="J264" s="7" t="b">
        <f t="shared" si="9"/>
        <v>1</v>
      </c>
    </row>
    <row r="265" spans="8:10" x14ac:dyDescent="0.25">
      <c r="H265" s="8" t="s">
        <v>229</v>
      </c>
      <c r="I265" s="7">
        <f t="shared" si="8"/>
        <v>0.1</v>
      </c>
      <c r="J265" s="7" t="b">
        <f t="shared" si="9"/>
        <v>1</v>
      </c>
    </row>
    <row r="266" spans="8:10" x14ac:dyDescent="0.25">
      <c r="H266" s="8" t="s">
        <v>138</v>
      </c>
      <c r="I266" s="7">
        <f t="shared" si="8"/>
        <v>0.1</v>
      </c>
      <c r="J266" s="7" t="b">
        <f t="shared" si="9"/>
        <v>0</v>
      </c>
    </row>
    <row r="267" spans="8:10" x14ac:dyDescent="0.25">
      <c r="H267" s="8" t="s">
        <v>106</v>
      </c>
      <c r="I267" s="7">
        <f t="shared" si="8"/>
        <v>0.1</v>
      </c>
      <c r="J267" s="7" t="b">
        <f t="shared" si="9"/>
        <v>0</v>
      </c>
    </row>
    <row r="268" spans="8:10" x14ac:dyDescent="0.25">
      <c r="H268" s="8" t="s">
        <v>233</v>
      </c>
      <c r="I268" s="7">
        <f t="shared" si="8"/>
        <v>0.1</v>
      </c>
      <c r="J268" s="7" t="b">
        <f t="shared" si="9"/>
        <v>1</v>
      </c>
    </row>
    <row r="269" spans="8:10" x14ac:dyDescent="0.25">
      <c r="H269" s="8" t="s">
        <v>100</v>
      </c>
      <c r="I269" s="7">
        <f t="shared" si="8"/>
        <v>0.1</v>
      </c>
      <c r="J269" s="7" t="b">
        <f t="shared" si="9"/>
        <v>1</v>
      </c>
    </row>
    <row r="270" spans="8:10" x14ac:dyDescent="0.25">
      <c r="H270" s="8" t="s">
        <v>211</v>
      </c>
      <c r="I270" s="7">
        <f t="shared" si="8"/>
        <v>0.1</v>
      </c>
      <c r="J270" s="7" t="b">
        <f t="shared" si="9"/>
        <v>0</v>
      </c>
    </row>
    <row r="271" spans="8:10" x14ac:dyDescent="0.25">
      <c r="H271" s="8" t="s">
        <v>125</v>
      </c>
      <c r="I271" s="7">
        <f t="shared" si="8"/>
        <v>0.1</v>
      </c>
      <c r="J271" s="7" t="b">
        <f t="shared" si="9"/>
        <v>0</v>
      </c>
    </row>
    <row r="272" spans="8:10" x14ac:dyDescent="0.25">
      <c r="H272" s="8" t="s">
        <v>92</v>
      </c>
      <c r="I272" s="7">
        <f t="shared" si="8"/>
        <v>0.1</v>
      </c>
      <c r="J272" s="7" t="b">
        <f t="shared" si="9"/>
        <v>0</v>
      </c>
    </row>
    <row r="273" spans="8:10" x14ac:dyDescent="0.25">
      <c r="H273" s="4" t="s">
        <v>50</v>
      </c>
      <c r="I273" s="7">
        <f t="shared" si="8"/>
        <v>0.1</v>
      </c>
      <c r="J273" s="7" t="b">
        <f t="shared" si="9"/>
        <v>0</v>
      </c>
    </row>
    <row r="274" spans="8:10" x14ac:dyDescent="0.25">
      <c r="H274" s="8" t="s">
        <v>69</v>
      </c>
      <c r="I274" s="7">
        <f t="shared" si="8"/>
        <v>0.01</v>
      </c>
      <c r="J274" s="7" t="b">
        <f t="shared" si="9"/>
        <v>0</v>
      </c>
    </row>
    <row r="275" spans="8:10" x14ac:dyDescent="0.25">
      <c r="H275" s="8" t="s">
        <v>107</v>
      </c>
      <c r="I275" s="7">
        <f t="shared" si="8"/>
        <v>0.01</v>
      </c>
      <c r="J275" s="7" t="b">
        <f t="shared" si="9"/>
        <v>0</v>
      </c>
    </row>
    <row r="276" spans="8:10" x14ac:dyDescent="0.25">
      <c r="H276" s="8" t="s">
        <v>162</v>
      </c>
      <c r="I276" s="7">
        <f t="shared" si="8"/>
        <v>0.01</v>
      </c>
      <c r="J276" s="7" t="b">
        <f t="shared" si="9"/>
        <v>0</v>
      </c>
    </row>
    <row r="277" spans="8:10" x14ac:dyDescent="0.25">
      <c r="H277" s="8" t="s">
        <v>167</v>
      </c>
      <c r="I277" s="7">
        <f t="shared" si="8"/>
        <v>0.01</v>
      </c>
      <c r="J277" s="7" t="b">
        <f t="shared" si="9"/>
        <v>0</v>
      </c>
    </row>
    <row r="278" spans="8:10" x14ac:dyDescent="0.25">
      <c r="H278" s="8" t="s">
        <v>175</v>
      </c>
      <c r="I278" s="7">
        <f t="shared" si="8"/>
        <v>0.01</v>
      </c>
      <c r="J278" s="7" t="b">
        <f t="shared" si="9"/>
        <v>0</v>
      </c>
    </row>
    <row r="279" spans="8:10" x14ac:dyDescent="0.25">
      <c r="H279" s="8" t="s">
        <v>182</v>
      </c>
      <c r="I279" s="7">
        <f t="shared" si="8"/>
        <v>0.01</v>
      </c>
      <c r="J279" s="7" t="b">
        <f t="shared" si="9"/>
        <v>0</v>
      </c>
    </row>
    <row r="280" spans="8:10" x14ac:dyDescent="0.25">
      <c r="H280" s="8" t="s">
        <v>77</v>
      </c>
      <c r="I280" s="7">
        <f t="shared" si="8"/>
        <v>0.01</v>
      </c>
      <c r="J280" s="7" t="b">
        <f t="shared" si="9"/>
        <v>0</v>
      </c>
    </row>
    <row r="281" spans="8:10" x14ac:dyDescent="0.25">
      <c r="H281" s="8" t="s">
        <v>194</v>
      </c>
      <c r="I281" s="7">
        <f t="shared" si="8"/>
        <v>0.01</v>
      </c>
      <c r="J281" s="7" t="b">
        <f t="shared" si="9"/>
        <v>0</v>
      </c>
    </row>
    <row r="282" spans="8:10" x14ac:dyDescent="0.25">
      <c r="H282" s="8" t="s">
        <v>115</v>
      </c>
      <c r="I282" s="7">
        <f t="shared" si="8"/>
        <v>0.01</v>
      </c>
      <c r="J282" s="7" t="b">
        <f t="shared" si="9"/>
        <v>0</v>
      </c>
    </row>
    <row r="283" spans="8:10" x14ac:dyDescent="0.25">
      <c r="H283" s="8" t="s">
        <v>202</v>
      </c>
      <c r="I283" s="7">
        <f t="shared" si="8"/>
        <v>0.01</v>
      </c>
      <c r="J283" s="7" t="b">
        <f t="shared" si="9"/>
        <v>1</v>
      </c>
    </row>
    <row r="284" spans="8:10" x14ac:dyDescent="0.25">
      <c r="H284" s="8" t="s">
        <v>85</v>
      </c>
      <c r="I284" s="7">
        <f t="shared" si="8"/>
        <v>0.01</v>
      </c>
      <c r="J284" s="7" t="b">
        <f t="shared" si="9"/>
        <v>0</v>
      </c>
    </row>
    <row r="285" spans="8:10" x14ac:dyDescent="0.25">
      <c r="H285" s="8" t="s">
        <v>121</v>
      </c>
      <c r="I285" s="7">
        <f t="shared" si="8"/>
        <v>0.01</v>
      </c>
      <c r="J285" s="7" t="b">
        <f t="shared" si="9"/>
        <v>0</v>
      </c>
    </row>
    <row r="286" spans="8:10" x14ac:dyDescent="0.25">
      <c r="H286" s="8" t="s">
        <v>145</v>
      </c>
      <c r="I286" s="7">
        <f t="shared" si="8"/>
        <v>0.01</v>
      </c>
      <c r="J286" s="7" t="b">
        <f t="shared" si="9"/>
        <v>0</v>
      </c>
    </row>
    <row r="287" spans="8:10" x14ac:dyDescent="0.25">
      <c r="H287" s="8" t="s">
        <v>200</v>
      </c>
      <c r="I287" s="7">
        <f t="shared" si="8"/>
        <v>0.01</v>
      </c>
      <c r="J287" s="7" t="b">
        <f t="shared" si="9"/>
        <v>0</v>
      </c>
    </row>
    <row r="288" spans="8:10" x14ac:dyDescent="0.25">
      <c r="H288" s="8" t="s">
        <v>133</v>
      </c>
      <c r="I288" s="7">
        <f t="shared" si="8"/>
        <v>0.01</v>
      </c>
      <c r="J288" s="7" t="b">
        <f t="shared" si="9"/>
        <v>1</v>
      </c>
    </row>
    <row r="289" spans="8:10" x14ac:dyDescent="0.25">
      <c r="H289" s="8" t="s">
        <v>93</v>
      </c>
      <c r="I289" s="7">
        <f t="shared" si="8"/>
        <v>0.01</v>
      </c>
      <c r="J289" s="7" t="b">
        <f t="shared" si="9"/>
        <v>0</v>
      </c>
    </row>
    <row r="290" spans="8:10" x14ac:dyDescent="0.25">
      <c r="H290" s="8" t="s">
        <v>126</v>
      </c>
      <c r="I290" s="7">
        <f t="shared" si="8"/>
        <v>0.01</v>
      </c>
      <c r="J290" s="7" t="b">
        <f t="shared" si="9"/>
        <v>0</v>
      </c>
    </row>
    <row r="291" spans="8:10" x14ac:dyDescent="0.25">
      <c r="H291" s="8" t="s">
        <v>101</v>
      </c>
      <c r="I291" s="7">
        <f t="shared" si="8"/>
        <v>0.01</v>
      </c>
      <c r="J291" s="7" t="b">
        <f t="shared" si="9"/>
        <v>0</v>
      </c>
    </row>
  </sheetData>
  <sortState xmlns:xlrd2="http://schemas.microsoft.com/office/spreadsheetml/2017/richdata2" ref="H2:J292">
    <sortCondition descending="1" ref="I2:I292"/>
    <sortCondition ref="H2:H29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Types</vt:lpstr>
      <vt:lpstr>Evolution</vt:lpstr>
      <vt:lpstr>Gens</vt:lpstr>
      <vt:lpstr>Eggs</vt:lpstr>
      <vt:lpstr>Stats</vt:lpstr>
      <vt:lpstr>Contest</vt:lpstr>
      <vt:lpstr>TMs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2019-12-13T01:17:58Z</dcterms:created>
  <dcterms:modified xsi:type="dcterms:W3CDTF">2021-01-05T08:17:14Z</dcterms:modified>
</cp:coreProperties>
</file>